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進捗確認" sheetId="1" state="visible" r:id="rId1"/>
    <sheet name="目標設定" sheetId="2" state="visible" r:id="rId2"/>
    <sheet name="ラダー" sheetId="3" state="visible" r:id="rId3"/>
    <sheet name="機種販売入力" sheetId="4" state="visible" r:id="rId4"/>
    <sheet name="機種マスタ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yyyy/m/d"/>
    <numFmt numFmtId="166" formatCode="0.0%"/>
    <numFmt numFmtId="167" formatCode="m/d"/>
    <numFmt numFmtId="168" formatCode="yyyy&quot;年&quot;m&quot;月&quot;"/>
    <numFmt numFmtId="169" formatCode="0&quot;日&quot;"/>
    <numFmt numFmtId="170" formatCode="0.0"/>
    <numFmt numFmtId="171" formatCode="+0.0;-0.0;0.0"/>
    <numFmt numFmtId="172" formatCode="m/d(aaa)"/>
  </numFmts>
  <fonts count="12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b val="1"/>
      <color rgb="00C00000"/>
      <sz val="10"/>
    </font>
    <font>
      <name val="Meiryo UI"/>
      <color rgb="000563C1"/>
      <sz val="10"/>
      <u val="single"/>
    </font>
    <font>
      <name val="Meiryo UI"/>
      <b val="1"/>
      <color rgb="00002060"/>
      <sz val="12"/>
    </font>
    <font>
      <name val="Meiryo UI"/>
      <b val="1"/>
      <color rgb="00000000"/>
      <sz val="10"/>
    </font>
    <font>
      <name val="Meiryo U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8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9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70" fontId="4" fillId="0" borderId="1" applyAlignment="1" pivotButton="0" quotePrefix="0" xfId="0">
      <alignment horizontal="center" vertical="center" wrapText="1"/>
    </xf>
    <xf numFmtId="17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70" fontId="2" fillId="4" borderId="1" applyAlignment="1" pivotButton="0" quotePrefix="0" xfId="0">
      <alignment horizontal="center" vertical="center" wrapText="1"/>
    </xf>
    <xf numFmtId="171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9" fillId="0" borderId="0" pivotButton="0" quotePrefix="0" xfId="0"/>
    <xf numFmtId="3" fontId="9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72" fontId="4" fillId="0" borderId="1" applyAlignment="1" pivotButton="0" quotePrefix="0" xfId="0">
      <alignment horizontal="center" vertical="center" wrapText="1"/>
    </xf>
    <xf numFmtId="3" fontId="3" fillId="2" borderId="1" applyAlignment="1" applyProtection="1" pivotButton="0" quotePrefix="0" xfId="0">
      <alignment horizontal="center" vertical="center" wrapText="1"/>
      <protection locked="0" hidden="0"/>
    </xf>
    <xf numFmtId="3" fontId="4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7" fontId="3" fillId="2" borderId="1" applyAlignment="1" applyProtection="1" pivotButton="0" quotePrefix="0" xfId="0">
      <alignment horizontal="center" vertical="center" wrapText="1"/>
      <protection locked="0" hidden="0"/>
    </xf>
    <xf numFmtId="0" fontId="3" fillId="2" borderId="1" applyAlignment="1" applyProtection="1" pivotButton="0" quotePrefix="0" xfId="0">
      <alignment horizontal="left" vertical="center"/>
      <protection locked="0" hidden="0"/>
    </xf>
    <xf numFmtId="0" fontId="3" fillId="2" borderId="1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dxfs count="10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b val="1"/>
      </font>
      <fill>
        <patternFill patternType="solid">
          <fgColor rgb="00FFD966"/>
          <bgColor rgb="00FFD966"/>
        </patternFill>
      </fill>
    </dxf>
    <dxf>
      <font>
        <color rgb="000070C0"/>
      </font>
    </dxf>
    <dxf>
      <font>
        <color rgb="00FFFFFF"/>
      </font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'進捗確認'!C77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'進捗確認'!$C$78:$C$108</f>
            </numRef>
          </val>
          <smooth val="0"/>
        </ser>
        <ser>
          <idx val="1"/>
          <order val="1"/>
          <tx>
            <strRef>
              <f>'進捗確認'!D77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'進捗確認'!$D$78:$D$108</f>
            </numRef>
          </val>
          <smooth val="0"/>
        </ser>
        <ser>
          <idx val="2"/>
          <order val="2"/>
          <tx>
            <strRef>
              <f>'進捗確認'!E77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'進捗確認'!$E$78:$E$108</f>
            </numRef>
          </val>
          <smooth val="0"/>
        </ser>
        <ser>
          <idx val="3"/>
          <order val="3"/>
          <tx>
            <strRef>
              <f>'進捗確認'!F77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'進捗確認'!$F$78:$F$108</f>
            </numRef>
          </val>
          <smooth val="0"/>
        </ser>
        <ser>
          <idx val="4"/>
          <order val="4"/>
          <tx>
            <strRef>
              <f>'進捗確認'!G77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'進捗確認'!$G$78:$G$108</f>
            </numRef>
          </val>
          <smooth val="0"/>
        </ser>
        <ser>
          <idx val="5"/>
          <order val="5"/>
          <tx>
            <strRef>
              <f>'進捗確認'!O77</f>
            </strRef>
          </tx>
          <spPr>
            <a:ln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>
                <a:prstDash val="solid"/>
              </a:ln>
            </spPr>
          </marker>
          <cat>
            <numRef>
              <f>'進捗確認'!$A$78:$A$108</f>
            </numRef>
          </cat>
          <val>
            <numRef>
              <f>'進捗確認'!$O$78:$O$108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36914;&#25431;&#30906;&#35469;'!A40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2">
      <c r="A2" s="2" t="inlineStr">
        <is>
          <t>※ 黄色いセルが入力欄です。日々の件数は下の「日別 実績入力」表に入力、売れた対象機種は「機種販売入力」、目標は「目標設定」シートで入力します(それ以外は自動計算)。</t>
        </is>
      </c>
    </row>
    <row r="3">
      <c r="A3" s="3" t="inlineStr">
        <is>
          <t>対象月</t>
        </is>
      </c>
      <c r="B3" s="4">
        <f>目標設定!C3</f>
        <v/>
      </c>
      <c r="C3" s="3" t="inlineStr">
        <is>
          <t>月の日数</t>
        </is>
      </c>
      <c r="D3" s="5">
        <f>目標設定!C4</f>
        <v/>
      </c>
      <c r="E3" s="3" t="inlineStr">
        <is>
          <t>最終入力日</t>
        </is>
      </c>
      <c r="F3" s="6">
        <f>SUMPRODUCT(MAX(A42:A72*O42:O72))</f>
        <v/>
      </c>
      <c r="G3" s="3" t="inlineStr">
        <is>
          <t>経過率</t>
        </is>
      </c>
      <c r="H3" s="7">
        <f>IF(D3&gt;0,F3/D3,0)</f>
        <v/>
      </c>
    </row>
    <row r="4">
      <c r="A4" s="8" t="inlineStr">
        <is>
          <t>▶ 日別 実績入力へ移動(下へスクロール)</t>
        </is>
      </c>
    </row>
    <row r="5" ht="32" customHeight="1">
      <c r="A5" s="9" t="inlineStr">
        <is>
          <t>項目</t>
        </is>
      </c>
      <c r="B5" s="9" t="inlineStr">
        <is>
          <t>月間目標</t>
        </is>
      </c>
      <c r="C5" s="9" t="inlineStr">
        <is>
          <t>累計実績</t>
        </is>
      </c>
      <c r="D5" s="9" t="inlineStr">
        <is>
          <t>達成率</t>
        </is>
      </c>
      <c r="E5" s="9" t="inlineStr">
        <is>
          <t>残数</t>
        </is>
      </c>
      <c r="F5" s="9" t="inlineStr">
        <is>
          <t>理想ペース
(目標×経過率)</t>
        </is>
      </c>
      <c r="G5" s="9" t="inlineStr">
        <is>
          <t>理想との差</t>
        </is>
      </c>
      <c r="H5" s="9" t="inlineStr">
        <is>
          <t>残り1日あたり
必要件数</t>
        </is>
      </c>
      <c r="I5" s="9" t="inlineStr">
        <is>
          <t>判定</t>
        </is>
      </c>
      <c r="J5" s="9" t="inlineStr">
        <is>
          <t>現在の配点
(ラダー)</t>
        </is>
      </c>
      <c r="K5" s="9" t="inlineStr">
        <is>
          <t>次のラダー
(達成率)</t>
        </is>
      </c>
      <c r="L5" s="9" t="inlineStr">
        <is>
          <t>次のラダーの
配点</t>
        </is>
      </c>
      <c r="M5" s="9" t="inlineStr">
        <is>
          <t>次のラダーまで
あと(件)</t>
        </is>
      </c>
    </row>
    <row r="6">
      <c r="A6" s="5" t="inlineStr">
        <is>
          <t>新規</t>
        </is>
      </c>
      <c r="B6" s="10">
        <f>IF(N(目標設定!$D$7)&gt;0,目標設定!$D$7,"-")</f>
        <v/>
      </c>
      <c r="C6" s="10">
        <f>C73</f>
        <v/>
      </c>
      <c r="D6" s="7">
        <f>IF(ISNUMBER(B6),C6/B6,"-")</f>
        <v/>
      </c>
      <c r="E6" s="10">
        <f>IF(ISNUMBER(B6),MAX(B6-C6,0),"-")</f>
        <v/>
      </c>
      <c r="F6" s="11">
        <f>IF(ISNUMBER(B6),B6*$H$3,"-")</f>
        <v/>
      </c>
      <c r="G6" s="12">
        <f>IF(ISNUMBER(B6),C6-F6,"-")</f>
        <v/>
      </c>
      <c r="H6" s="11">
        <f>IF(ISNUMBER(B6),IF($D$3-$F$3&gt;0,E6/($D$3-$F$3),E6),"-")</f>
        <v/>
      </c>
      <c r="I6" s="13">
        <f>IF(NOT(ISNUMBER(B6)),"目標未設定",IF(C6&gt;=B6,"達成",IF(C6&gt;=F6,"順調","遅れ")))</f>
        <v/>
      </c>
      <c r="J6" s="14">
        <f>IF(ISNUMBER(D6),INDEX(ラダー!$B$5:$B$34,MATCH(SUMPRODUCT(MAX((ラダー!$A$5:$A$34&lt;=ROUND(D6,6))*ラダー!$A$5:$A$34)),ラダー!$A$5:$A$34,0)),"-")</f>
        <v/>
      </c>
      <c r="K6" s="15">
        <f>IF(ISNUMBER(D6),IFERROR(SMALL(ラダー!$A$5:$A$34,COUNTIF(ラダー!$A$5:$A$34,"&lt;="&amp;ROUND(D6,6))+1),"最高段"),"-")</f>
        <v/>
      </c>
      <c r="L6" s="16">
        <f>IF(ISNUMBER(K6),INDEX(ラダー!$B$5:$B$34,MATCH(K6,ラダー!$A$5:$A$34,0)),"-")</f>
        <v/>
      </c>
      <c r="M6" s="10">
        <f>IF(ISNUMBER(K6),ROUNDUP(K6*B6-C6-0.000001,0),"-")</f>
        <v/>
      </c>
    </row>
    <row r="7">
      <c r="A7" s="5" t="inlineStr">
        <is>
          <t>MNP</t>
        </is>
      </c>
      <c r="B7" s="10">
        <f>IF(N(目標設定!$D$8)&gt;0,目標設定!$D$8,"-")</f>
        <v/>
      </c>
      <c r="C7" s="10">
        <f>D73</f>
        <v/>
      </c>
      <c r="D7" s="7">
        <f>IF(ISNUMBER(B7),C7/B7,"-")</f>
        <v/>
      </c>
      <c r="E7" s="10">
        <f>IF(ISNUMBER(B7),MAX(B7-C7,0),"-")</f>
        <v/>
      </c>
      <c r="F7" s="11">
        <f>IF(ISNUMBER(B7),B7*$H$3,"-")</f>
        <v/>
      </c>
      <c r="G7" s="12">
        <f>IF(ISNUMBER(B7),C7-F7,"-")</f>
        <v/>
      </c>
      <c r="H7" s="11">
        <f>IF(ISNUMBER(B7),IF($D$3-$F$3&gt;0,E7/($D$3-$F$3),E7),"-")</f>
        <v/>
      </c>
      <c r="I7" s="13">
        <f>IF(NOT(ISNUMBER(B7)),"目標未設定",IF(C7&gt;=B7,"達成",IF(C7&gt;=F7,"順調","遅れ")))</f>
        <v/>
      </c>
      <c r="J7" s="14">
        <f>IF(ISNUMBER(D7),INDEX(ラダー!$E$5:$E$34,MATCH(SUMPRODUCT(MAX((ラダー!$D$5:$D$34&lt;=ROUND(D7,6))*ラダー!$D$5:$D$34)),ラダー!$D$5:$D$34,0)),"-")</f>
        <v/>
      </c>
      <c r="K7" s="15">
        <f>IF(ISNUMBER(D7),IFERROR(SMALL(ラダー!$D$5:$D$34,COUNTIF(ラダー!$D$5:$D$34,"&lt;="&amp;ROUND(D7,6))+1),"最高段"),"-")</f>
        <v/>
      </c>
      <c r="L7" s="16">
        <f>IF(ISNUMBER(K7),INDEX(ラダー!$E$5:$E$34,MATCH(K7,ラダー!$D$5:$D$34,0)),"-")</f>
        <v/>
      </c>
      <c r="M7" s="10">
        <f>IF(ISNUMBER(K7),ROUNDUP(K7*B7-C7-0.000001,0),"-")</f>
        <v/>
      </c>
    </row>
    <row r="8">
      <c r="A8" s="5" t="inlineStr">
        <is>
          <t>固定</t>
        </is>
      </c>
      <c r="B8" s="10">
        <f>IF(N(目標設定!$D$9)&gt;0,目標設定!$D$9,"-")</f>
        <v/>
      </c>
      <c r="C8" s="10">
        <f>E73</f>
        <v/>
      </c>
      <c r="D8" s="7">
        <f>IF(ISNUMBER(B8),C8/B8,"-")</f>
        <v/>
      </c>
      <c r="E8" s="10">
        <f>IF(ISNUMBER(B8),MAX(B8-C8,0),"-")</f>
        <v/>
      </c>
      <c r="F8" s="11">
        <f>IF(ISNUMBER(B8),B8*$H$3,"-")</f>
        <v/>
      </c>
      <c r="G8" s="12">
        <f>IF(ISNUMBER(B8),C8-F8,"-")</f>
        <v/>
      </c>
      <c r="H8" s="11">
        <f>IF(ISNUMBER(B8),IF($D$3-$F$3&gt;0,E8/($D$3-$F$3),E8),"-")</f>
        <v/>
      </c>
      <c r="I8" s="13">
        <f>IF(NOT(ISNUMBER(B8)),"目標未設定",IF(C8&gt;=B8,"達成",IF(C8&gt;=F8,"順調","遅れ")))</f>
        <v/>
      </c>
      <c r="J8" s="14">
        <f>IF(ISNUMBER(D8),INDEX(ラダー!$K$5:$K$34,MATCH(SUMPRODUCT(MAX((ラダー!$J$5:$J$34&lt;=ROUND(D8,6))*ラダー!$J$5:$J$34)),ラダー!$J$5:$J$34,0)),"-")</f>
        <v/>
      </c>
      <c r="K8" s="15">
        <f>IF(ISNUMBER(D8),IFERROR(SMALL(ラダー!$J$5:$J$34,COUNTIF(ラダー!$J$5:$J$34,"&lt;="&amp;ROUND(D8,6))+1),"最高段"),"-")</f>
        <v/>
      </c>
      <c r="L8" s="16">
        <f>IF(ISNUMBER(K8),INDEX(ラダー!$K$5:$K$34,MATCH(K8,ラダー!$J$5:$J$34,0)),"-")</f>
        <v/>
      </c>
      <c r="M8" s="10">
        <f>IF(ISNUMBER(K8),ROUNDUP(K8*B8-C8-0.000001,0),"-")</f>
        <v/>
      </c>
    </row>
    <row r="9">
      <c r="A9" s="5" t="inlineStr">
        <is>
          <t>タブレット</t>
        </is>
      </c>
      <c r="B9" s="10">
        <f>IF(N(目標設定!$D$10)&gt;0,目標設定!$D$10,"-")</f>
        <v/>
      </c>
      <c r="C9" s="10">
        <f>F73</f>
        <v/>
      </c>
      <c r="D9" s="7">
        <f>IF(ISNUMBER(B9),C9/B9,"-")</f>
        <v/>
      </c>
      <c r="E9" s="10">
        <f>IF(ISNUMBER(B9),MAX(B9-C9,0),"-")</f>
        <v/>
      </c>
      <c r="F9" s="11">
        <f>IF(ISNUMBER(B9),B9*$H$3,"-")</f>
        <v/>
      </c>
      <c r="G9" s="12">
        <f>IF(ISNUMBER(B9),C9-F9,"-")</f>
        <v/>
      </c>
      <c r="H9" s="11">
        <f>IF(ISNUMBER(B9),IF($D$3-$F$3&gt;0,E9/($D$3-$F$3),E9),"-")</f>
        <v/>
      </c>
      <c r="I9" s="13">
        <f>IF(NOT(ISNUMBER(B9)),"目標未設定",IF(C9&gt;=B9,"達成",IF(C9&gt;=F9,"順調","遅れ")))</f>
        <v/>
      </c>
      <c r="J9" s="14">
        <f>IF(ISNUMBER(D9),INDEX(ラダー!$N$5:$N$34,MATCH(SUMPRODUCT(MAX((ラダー!$M$5:$M$34&lt;=ROUND(D9,6))*ラダー!$M$5:$M$34)),ラダー!$M$5:$M$34,0)),"-")</f>
        <v/>
      </c>
      <c r="K9" s="15">
        <f>IF(ISNUMBER(D9),IFERROR(SMALL(ラダー!$M$5:$M$34,COUNTIF(ラダー!$M$5:$M$34,"&lt;="&amp;ROUND(D9,6))+1),"最高段"),"-")</f>
        <v/>
      </c>
      <c r="L9" s="16">
        <f>IF(ISNUMBER(K9),INDEX(ラダー!$N$5:$N$34,MATCH(K9,ラダー!$M$5:$M$34,0)),"-")</f>
        <v/>
      </c>
      <c r="M9" s="10">
        <f>IF(ISNUMBER(K9),ROUNDUP(K9*B9-C9-0.000001,0),"-")</f>
        <v/>
      </c>
    </row>
    <row r="10">
      <c r="A10" s="5" t="inlineStr">
        <is>
          <t>電気</t>
        </is>
      </c>
      <c r="B10" s="10">
        <f>IF(N(目標設定!$D$11)&gt;0,目標設定!$D$11,"-")</f>
        <v/>
      </c>
      <c r="C10" s="10">
        <f>G73</f>
        <v/>
      </c>
      <c r="D10" s="7">
        <f>IF(ISNUMBER(B10),C10/B10,"-")</f>
        <v/>
      </c>
      <c r="E10" s="10">
        <f>IF(ISNUMBER(B10),MAX(B10-C10,0),"-")</f>
        <v/>
      </c>
      <c r="F10" s="11">
        <f>IF(ISNUMBER(B10),B10*$H$3,"-")</f>
        <v/>
      </c>
      <c r="G10" s="12">
        <f>IF(ISNUMBER(B10),C10-F10,"-")</f>
        <v/>
      </c>
      <c r="H10" s="11">
        <f>IF(ISNUMBER(B10),IF($D$3-$F$3&gt;0,E10/($D$3-$F$3),E10),"-")</f>
        <v/>
      </c>
      <c r="I10" s="13">
        <f>IF(NOT(ISNUMBER(B10)),"目標未設定",IF(C10&gt;=B10,"達成",IF(C10&gt;=F10,"順調","遅れ")))</f>
        <v/>
      </c>
      <c r="J10" s="14">
        <f>IF(ISNUMBER(D10),INDEX(ラダー!$Q$5:$Q$34,MATCH(SUMPRODUCT(MAX((ラダー!$P$5:$P$34&lt;=ROUND(D10,6))*ラダー!$P$5:$P$34)),ラダー!$P$5:$P$34,0)),"-")</f>
        <v/>
      </c>
      <c r="K10" s="15">
        <f>IF(ISNUMBER(D10),IFERROR(SMALL(ラダー!$P$5:$P$34,COUNTIF(ラダー!$P$5:$P$34,"&lt;="&amp;ROUND(D10,6))+1),"最高段"),"-")</f>
        <v/>
      </c>
      <c r="L10" s="16">
        <f>IF(ISNUMBER(K10),INDEX(ラダー!$Q$5:$Q$34,MATCH(K10,ラダー!$P$5:$P$34,0)),"-")</f>
        <v/>
      </c>
      <c r="M10" s="10">
        <f>IF(ISNUMBER(K10),ROUNDUP(K10*B10-C10-0.000001,0),"-")</f>
        <v/>
      </c>
    </row>
    <row r="11">
      <c r="A11" s="5" t="inlineStr">
        <is>
          <t>PPCD申込</t>
        </is>
      </c>
      <c r="B11" s="10" t="inlineStr">
        <is>
          <t>-</t>
        </is>
      </c>
      <c r="C11" s="10">
        <f>H73</f>
        <v/>
      </c>
      <c r="D11" s="7">
        <f>IF(ISNUMBER(目標設定!$F$12),目標設定!$F$12,"-")</f>
        <v/>
      </c>
      <c r="E11" s="10" t="inlineStr">
        <is>
          <t>-</t>
        </is>
      </c>
      <c r="F11" s="11" t="inlineStr">
        <is>
          <t>-</t>
        </is>
      </c>
      <c r="G11" s="12" t="inlineStr">
        <is>
          <t>-</t>
        </is>
      </c>
      <c r="H11" s="11" t="inlineStr">
        <is>
          <t>-</t>
        </is>
      </c>
      <c r="I11" s="13">
        <f>IF(ISNUMBER(D11),"手入力率","率未入力")</f>
        <v/>
      </c>
      <c r="J11" s="14">
        <f>IF(ISNUMBER(D11),INDEX(ラダー!$T$5:$T$34,MATCH(SUMPRODUCT(MAX((ラダー!$S$5:$S$34&lt;=ROUND(D11,6))*ラダー!$S$5:$S$34)),ラダー!$S$5:$S$34,0)),"-")</f>
        <v/>
      </c>
      <c r="K11" s="15">
        <f>IF(ISNUMBER(D11),IFERROR(SMALL(ラダー!$S$5:$S$34,COUNTIF(ラダー!$S$5:$S$34,"&lt;="&amp;ROUND(D11,6))+1),"最高段"),"-")</f>
        <v/>
      </c>
      <c r="L11" s="16">
        <f>IF(ISNUMBER(K11),INDEX(ラダー!$T$5:$T$34,MATCH(K11,ラダー!$S$5:$S$34,0)),"-")</f>
        <v/>
      </c>
      <c r="M11" s="10" t="inlineStr">
        <is>
          <t>-</t>
        </is>
      </c>
    </row>
    <row r="12">
      <c r="A12" s="5" t="inlineStr">
        <is>
          <t>SB Gold申込</t>
        </is>
      </c>
      <c r="B12" s="10" t="inlineStr">
        <is>
          <t>-</t>
        </is>
      </c>
      <c r="C12" s="10">
        <f>I73</f>
        <v/>
      </c>
      <c r="D12" s="7">
        <f>IF(ISNUMBER(目標設定!$F$13),目標設定!$F$13,"-")</f>
        <v/>
      </c>
      <c r="E12" s="10" t="inlineStr">
        <is>
          <t>-</t>
        </is>
      </c>
      <c r="F12" s="11" t="inlineStr">
        <is>
          <t>-</t>
        </is>
      </c>
      <c r="G12" s="12" t="inlineStr">
        <is>
          <t>-</t>
        </is>
      </c>
      <c r="H12" s="11" t="inlineStr">
        <is>
          <t>-</t>
        </is>
      </c>
      <c r="I12" s="13">
        <f>IF(ISNUMBER(D12),"手入力率","率未入力")</f>
        <v/>
      </c>
      <c r="J12" s="14">
        <f>IF(ISNUMBER(D12),INDEX(ラダー!$W$5:$W$34,MATCH(SUMPRODUCT(MAX((ラダー!$V$5:$V$34&lt;=ROUND(D12,6))*ラダー!$V$5:$V$34)),ラダー!$V$5:$V$34,0)),"-")</f>
        <v/>
      </c>
      <c r="K12" s="15">
        <f>IF(ISNUMBER(D12),IFERROR(SMALL(ラダー!$V$5:$V$34,COUNTIF(ラダー!$V$5:$V$34,"&lt;="&amp;ROUND(D12,6))+1),"最高段"),"-")</f>
        <v/>
      </c>
      <c r="L12" s="16">
        <f>IF(ISNUMBER(K12),INDEX(ラダー!$W$5:$W$34,MATCH(K12,ラダー!$V$5:$V$34,0)),"-")</f>
        <v/>
      </c>
      <c r="M12" s="10" t="inlineStr">
        <is>
          <t>-</t>
        </is>
      </c>
    </row>
    <row r="13">
      <c r="A13" s="5" t="inlineStr">
        <is>
          <t>戦略機種(Pt)</t>
        </is>
      </c>
      <c r="B13" s="10">
        <f>IF(N(目標設定!$D$14)&gt;0,目標設定!$D$14,"-")</f>
        <v/>
      </c>
      <c r="C13" s="10">
        <f>J73</f>
        <v/>
      </c>
      <c r="D13" s="7">
        <f>IF(ISNUMBER(B13),C13/B13,"-")</f>
        <v/>
      </c>
      <c r="E13" s="10">
        <f>IF(ISNUMBER(B13),MAX(B13-C13,0),"-")</f>
        <v/>
      </c>
      <c r="F13" s="11">
        <f>IF(ISNUMBER(B13),B13*$H$3,"-")</f>
        <v/>
      </c>
      <c r="G13" s="12">
        <f>IF(ISNUMBER(B13),C13-F13,"-")</f>
        <v/>
      </c>
      <c r="H13" s="11">
        <f>IF(ISNUMBER(B13),IF($D$3-$F$3&gt;0,E13/($D$3-$F$3),E13),"-")</f>
        <v/>
      </c>
      <c r="I13" s="13">
        <f>IF(NOT(ISNUMBER(B13)),"目標未設定",IF(C13&gt;=B13,"達成",IF(C13&gt;=F13,"順調","遅れ")))</f>
        <v/>
      </c>
      <c r="J13" s="14">
        <f>IF(ISNUMBER(D13),INDEX(ラダー!$Z$5:$Z$34,MATCH(SUMPRODUCT(MAX((ラダー!$Y$5:$Y$34&lt;=ROUND(D13,6))*ラダー!$Y$5:$Y$34)),ラダー!$Y$5:$Y$34,0)),"-")</f>
        <v/>
      </c>
      <c r="K13" s="15">
        <f>IF(ISNUMBER(D13),IFERROR(SMALL(ラダー!$Y$5:$Y$34,COUNTIF(ラダー!$Y$5:$Y$34,"&lt;="&amp;ROUND(D13,6))+1),"最高段"),"-")</f>
        <v/>
      </c>
      <c r="L13" s="16">
        <f>IF(ISNUMBER(K13),INDEX(ラダー!$Z$5:$Z$34,MATCH(K13,ラダー!$Y$5:$Y$34,0)),"-")</f>
        <v/>
      </c>
      <c r="M13" s="10">
        <f>IF(ISNUMBER(K13),ROUNDUP(K13*B13-C13-0.000001,0),"-")</f>
        <v/>
      </c>
    </row>
    <row r="14">
      <c r="A14" s="5" t="inlineStr">
        <is>
          <t>Watch</t>
        </is>
      </c>
      <c r="B14" s="10">
        <f>IF(N(目標設定!$D$15)&gt;0,目標設定!$D$15,"-")</f>
        <v/>
      </c>
      <c r="C14" s="10">
        <f>K73</f>
        <v/>
      </c>
      <c r="D14" s="7">
        <f>IF(ISNUMBER(B14),C14/B14,"-")</f>
        <v/>
      </c>
      <c r="E14" s="10">
        <f>IF(ISNUMBER(B14),MAX(B14-C14,0),"-")</f>
        <v/>
      </c>
      <c r="F14" s="11">
        <f>IF(ISNUMBER(B14),B14*$H$3,"-")</f>
        <v/>
      </c>
      <c r="G14" s="12">
        <f>IF(ISNUMBER(B14),C14-F14,"-")</f>
        <v/>
      </c>
      <c r="H14" s="11">
        <f>IF(ISNUMBER(B14),IF($D$3-$F$3&gt;0,E14/($D$3-$F$3),E14),"-")</f>
        <v/>
      </c>
      <c r="I14" s="13">
        <f>IF(NOT(ISNUMBER(B14)),"目標未設定",IF(C14&gt;=B14,"達成",IF(C14&gt;=F14,"順調","遅れ")))</f>
        <v/>
      </c>
      <c r="J14" s="14">
        <f>IF(ISNUMBER(D14),INDEX(ラダー!$AC$5:$AC$34,MATCH(SUMPRODUCT(MAX((ラダー!$AB$5:$AB$34&lt;=ROUND(D14,6))*ラダー!$AB$5:$AB$34)),ラダー!$AB$5:$AB$34,0)),"-")</f>
        <v/>
      </c>
      <c r="K14" s="15">
        <f>IF(ISNUMBER(D14),IFERROR(SMALL(ラダー!$AB$5:$AB$34,COUNTIF(ラダー!$AB$5:$AB$34,"&lt;="&amp;ROUND(D14,6))+1),"最高段"),"-")</f>
        <v/>
      </c>
      <c r="L14" s="16">
        <f>IF(ISNUMBER(K14),INDEX(ラダー!$AC$5:$AC$34,MATCH(K14,ラダー!$AB$5:$AB$34,0)),"-")</f>
        <v/>
      </c>
      <c r="M14" s="10">
        <f>IF(ISNUMBER(K14),ROUNDUP(K14*B14-C14-0.000001,0),"-")</f>
        <v/>
      </c>
    </row>
    <row r="15">
      <c r="A15" s="5" t="inlineStr">
        <is>
          <t>機変</t>
        </is>
      </c>
      <c r="B15" s="10">
        <f>IF(N(目標設定!$D$16)&gt;0,目標設定!$D$16,"-")</f>
        <v/>
      </c>
      <c r="C15" s="10">
        <f>L73</f>
        <v/>
      </c>
      <c r="D15" s="7">
        <f>IF(ISNUMBER(B15),C15/B15,"-")</f>
        <v/>
      </c>
      <c r="E15" s="10">
        <f>IF(ISNUMBER(B15),MAX(B15-C15,0),"-")</f>
        <v/>
      </c>
      <c r="F15" s="11">
        <f>IF(ISNUMBER(B15),B15*$H$3,"-")</f>
        <v/>
      </c>
      <c r="G15" s="12">
        <f>IF(ISNUMBER(B15),C15-F15,"-")</f>
        <v/>
      </c>
      <c r="H15" s="11">
        <f>IF(ISNUMBER(B15),IF($D$3-$F$3&gt;0,E15/($D$3-$F$3),E15),"-")</f>
        <v/>
      </c>
      <c r="I15" s="13">
        <f>IF(NOT(ISNUMBER(B15)),"目標未設定",IF(C15&gt;=B15,"達成",IF(C15&gt;=F15,"順調","遅れ")))</f>
        <v/>
      </c>
      <c r="J15" s="14">
        <f>IF(ISNUMBER(D15),INDEX(ラダー!$H$5:$H$34,MATCH(SUMPRODUCT(MAX((ラダー!$G$5:$G$34&lt;=ROUND(D15,6))*ラダー!$G$5:$G$34)),ラダー!$G$5:$G$34,0)),"-")</f>
        <v/>
      </c>
      <c r="K15" s="15">
        <f>IF(ISNUMBER(D15),IFERROR(SMALL(ラダー!$G$5:$G$34,COUNTIF(ラダー!$G$5:$G$34,"&lt;="&amp;ROUND(D15,6))+1),"最高段"),"-")</f>
        <v/>
      </c>
      <c r="L15" s="16">
        <f>IF(ISNUMBER(K15),INDEX(ラダー!$H$5:$H$34,MATCH(K15,ラダー!$G$5:$G$34,0)),"-")</f>
        <v/>
      </c>
      <c r="M15" s="10">
        <f>IF(ISNUMBER(K15),ROUNDUP(K15*B15-C15-0.000001,0),"-")</f>
        <v/>
      </c>
    </row>
    <row r="16">
      <c r="A16" s="5" t="inlineStr">
        <is>
          <t>DMM</t>
        </is>
      </c>
      <c r="B16" s="10">
        <f>IF(N(目標設定!$D$17)&gt;0,目標設定!$D$17,"-")</f>
        <v/>
      </c>
      <c r="C16" s="10">
        <f>M73</f>
        <v/>
      </c>
      <c r="D16" s="7">
        <f>IF(ISNUMBER(B16),C16/B16,"-")</f>
        <v/>
      </c>
      <c r="E16" s="10">
        <f>IF(ISNUMBER(B16),MAX(B16-C16,0),"-")</f>
        <v/>
      </c>
      <c r="F16" s="11">
        <f>IF(ISNUMBER(B16),B16*$H$3,"-")</f>
        <v/>
      </c>
      <c r="G16" s="12">
        <f>IF(ISNUMBER(B16),C16-F16,"-")</f>
        <v/>
      </c>
      <c r="H16" s="11">
        <f>IF(ISNUMBER(B16),IF($D$3-$F$3&gt;0,E16/($D$3-$F$3),E16),"-")</f>
        <v/>
      </c>
      <c r="I16" s="13">
        <f>IF(NOT(ISNUMBER(B16)),"目標未設定",IF(C16&gt;=B16,"達成",IF(C16&gt;=F16,"順調","遅れ")))</f>
        <v/>
      </c>
      <c r="J16" s="14" t="inlineStr">
        <is>
          <t>ラダーなし</t>
        </is>
      </c>
      <c r="K16" s="15" t="inlineStr">
        <is>
          <t>-</t>
        </is>
      </c>
      <c r="L16" s="16" t="inlineStr">
        <is>
          <t>-</t>
        </is>
      </c>
      <c r="M16" s="10" t="inlineStr">
        <is>
          <t>-</t>
        </is>
      </c>
    </row>
    <row r="17">
      <c r="A17" s="5" t="inlineStr">
        <is>
          <t>YouTube</t>
        </is>
      </c>
      <c r="B17" s="10">
        <f>IF(N(目標設定!$D$18)&gt;0,目標設定!$D$18,"-")</f>
        <v/>
      </c>
      <c r="C17" s="10">
        <f>N73</f>
        <v/>
      </c>
      <c r="D17" s="7">
        <f>IF(ISNUMBER(B17),C17/B17,"-")</f>
        <v/>
      </c>
      <c r="E17" s="10">
        <f>IF(ISNUMBER(B17),MAX(B17-C17,0),"-")</f>
        <v/>
      </c>
      <c r="F17" s="11">
        <f>IF(ISNUMBER(B17),B17*$H$3,"-")</f>
        <v/>
      </c>
      <c r="G17" s="12">
        <f>IF(ISNUMBER(B17),C17-F17,"-")</f>
        <v/>
      </c>
      <c r="H17" s="11">
        <f>IF(ISNUMBER(B17),IF($D$3-$F$3&gt;0,E17/($D$3-$F$3),E17),"-")</f>
        <v/>
      </c>
      <c r="I17" s="13">
        <f>IF(NOT(ISNUMBER(B17)),"目標未設定",IF(C17&gt;=B17,"達成",IF(C17&gt;=F17,"順調","遅れ")))</f>
        <v/>
      </c>
      <c r="J17" s="14" t="inlineStr">
        <is>
          <t>ラダーなし</t>
        </is>
      </c>
      <c r="K17" s="15" t="inlineStr">
        <is>
          <t>-</t>
        </is>
      </c>
      <c r="L17" s="16" t="inlineStr">
        <is>
          <t>-</t>
        </is>
      </c>
      <c r="M17" s="10" t="inlineStr">
        <is>
          <t>-</t>
        </is>
      </c>
    </row>
    <row r="18">
      <c r="A18" s="17" t="inlineStr">
        <is>
          <t>合計(目標設定済み項目)</t>
        </is>
      </c>
      <c r="B18" s="18">
        <f>SUMIF(目標設定!$D$7:$D$18,"&gt;0")</f>
        <v/>
      </c>
      <c r="C18" s="18">
        <f>SUMIF($B6:$B17,"&gt;0",$C6:$C17)</f>
        <v/>
      </c>
      <c r="D18" s="19">
        <f>IF(B18&gt;0,C18/B18,"-")</f>
        <v/>
      </c>
      <c r="E18" s="18">
        <f>MAX(B18-C18,0)</f>
        <v/>
      </c>
      <c r="F18" s="20">
        <f>B18*$H$3</f>
        <v/>
      </c>
      <c r="G18" s="21">
        <f>C18-F18</f>
        <v/>
      </c>
      <c r="H18" s="20">
        <f>IF($D$3-$F$3&gt;0,E18/($D$3-$F$3),E18)</f>
        <v/>
      </c>
      <c r="I18" s="17">
        <f>IF(B18=0,"-",IF(C18&gt;=B18,"達成",IF(C18&gt;=F18,"順調","遅れ")))</f>
        <v/>
      </c>
      <c r="J18" s="17">
        <f>SUM(J6:J17)</f>
        <v/>
      </c>
      <c r="K18" s="17" t="n"/>
      <c r="L18" s="17" t="n"/>
      <c r="M18" s="17" t="n"/>
    </row>
    <row r="19">
      <c r="A19" s="22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2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</t>
        </is>
      </c>
    </row>
    <row r="21">
      <c r="A21" s="23" t="inlineStr">
        <is>
          <t>■ 戦略機種 点数(現時点)</t>
        </is>
      </c>
    </row>
    <row r="22">
      <c r="A22" s="3" t="inlineStr">
        <is>
          <t>現在の戦略Pt(点数)</t>
        </is>
      </c>
      <c r="B22" s="24">
        <f>C13</f>
        <v/>
      </c>
    </row>
    <row r="23">
      <c r="A23" s="3" t="inlineStr">
        <is>
          <t>戦略対象機種の販売台数</t>
        </is>
      </c>
      <c r="B23" s="25">
        <f>機種販売入力!K4</f>
        <v/>
      </c>
    </row>
    <row r="24">
      <c r="A24" s="3" t="inlineStr">
        <is>
          <t>最終入力日の加算Pt</t>
        </is>
      </c>
      <c r="B24" s="25">
        <f>IF($F$3&gt;0,INDEX(J42:J72,$F$3),0)</f>
        <v/>
      </c>
    </row>
    <row r="25">
      <c r="A25" s="3" t="inlineStr">
        <is>
          <t>戦略Pt目標</t>
        </is>
      </c>
      <c r="B25" s="25">
        <f>B13</f>
        <v/>
      </c>
    </row>
    <row r="26">
      <c r="A26" s="3" t="inlineStr">
        <is>
          <t>点数達成率(Pt÷目標)</t>
        </is>
      </c>
      <c r="B26" s="26">
        <f>D13</f>
        <v/>
      </c>
    </row>
    <row r="27">
      <c r="A27" s="3" t="inlineStr">
        <is>
          <t>残りPt</t>
        </is>
      </c>
      <c r="B27" s="25">
        <f>E13</f>
        <v/>
      </c>
    </row>
    <row r="28">
      <c r="A28" s="22" t="inlineStr">
        <is>
          <t>※ 点数は「機種販売入力」で選んだ機種の戦略Ptの合計です(機種ごとの内訳は「機種マスタ」)。</t>
        </is>
      </c>
    </row>
    <row r="40">
      <c r="A40" s="23" t="inlineStr">
        <is>
          <t>■ 日別 実績入力(その日の件数を黄色いセルに入力・累計は自動計算)</t>
        </is>
      </c>
    </row>
    <row r="41" ht="30" customHeight="1">
      <c r="A41" s="9" t="inlineStr">
        <is>
          <t>日</t>
        </is>
      </c>
      <c r="B41" s="9" t="inlineStr">
        <is>
          <t>日付</t>
        </is>
      </c>
      <c r="C41" s="9" t="inlineStr">
        <is>
          <t>新規</t>
        </is>
      </c>
      <c r="D41" s="9" t="inlineStr">
        <is>
          <t>MNP</t>
        </is>
      </c>
      <c r="E41" s="9" t="inlineStr">
        <is>
          <t>固定</t>
        </is>
      </c>
      <c r="F41" s="9" t="inlineStr">
        <is>
          <t>タブレット</t>
        </is>
      </c>
      <c r="G41" s="9" t="inlineStr">
        <is>
          <t>電気</t>
        </is>
      </c>
      <c r="H41" s="9" t="inlineStr">
        <is>
          <t>PPCD申込</t>
        </is>
      </c>
      <c r="I41" s="9" t="inlineStr">
        <is>
          <t>SB Gold申込</t>
        </is>
      </c>
      <c r="J41" s="9" t="inlineStr">
        <is>
          <t>戦略機種(Pt)
自動加算</t>
        </is>
      </c>
      <c r="K41" s="9" t="inlineStr">
        <is>
          <t>Watch</t>
        </is>
      </c>
      <c r="L41" s="9" t="inlineStr">
        <is>
          <t>機変</t>
        </is>
      </c>
      <c r="M41" s="9" t="inlineStr">
        <is>
          <t>DMM</t>
        </is>
      </c>
      <c r="N41" s="9" t="inlineStr">
        <is>
          <t>YouTube</t>
        </is>
      </c>
      <c r="O41" s="9" t="inlineStr">
        <is>
          <t>入力</t>
        </is>
      </c>
    </row>
    <row r="42">
      <c r="A42" s="13" t="n">
        <v>1</v>
      </c>
      <c r="B42" s="27">
        <f>IF(A42&lt;=$D$3,目標設定!$C$3+A42-1,"")</f>
        <v/>
      </c>
      <c r="C42" s="28" t="n"/>
      <c r="D42" s="28" t="n"/>
      <c r="E42" s="28" t="n"/>
      <c r="F42" s="28" t="n"/>
      <c r="G42" s="28" t="n"/>
      <c r="H42" s="28" t="n"/>
      <c r="I42" s="28" t="n"/>
      <c r="J42" s="29">
        <f>IF($B42="","",SUMIFS(機種販売入力!$H$4:$H$503,機種販売入力!$A$4:$A$503,$B42))</f>
        <v/>
      </c>
      <c r="K42" s="28" t="n"/>
      <c r="L42" s="28" t="n"/>
      <c r="M42" s="28" t="n"/>
      <c r="N42" s="28" t="n"/>
      <c r="O42" s="30">
        <f>IF(OR(COUNT(C42:I42,K42:N42)&gt;0,N(J42)&gt;0),1,0)</f>
        <v/>
      </c>
    </row>
    <row r="43">
      <c r="A43" s="13" t="n">
        <v>2</v>
      </c>
      <c r="B43" s="27">
        <f>IF(A43&lt;=$D$3,目標設定!$C$3+A43-1,"")</f>
        <v/>
      </c>
      <c r="C43" s="28" t="n"/>
      <c r="D43" s="28" t="n"/>
      <c r="E43" s="28" t="n"/>
      <c r="F43" s="28" t="n"/>
      <c r="G43" s="28" t="n"/>
      <c r="H43" s="28" t="n"/>
      <c r="I43" s="28" t="n"/>
      <c r="J43" s="29">
        <f>IF($B43="","",SUMIFS(機種販売入力!$H$4:$H$503,機種販売入力!$A$4:$A$503,$B43))</f>
        <v/>
      </c>
      <c r="K43" s="28" t="n"/>
      <c r="L43" s="28" t="n"/>
      <c r="M43" s="28" t="n"/>
      <c r="N43" s="28" t="n"/>
      <c r="O43" s="30">
        <f>IF(OR(COUNT(C43:I43,K43:N43)&gt;0,N(J43)&gt;0),1,0)</f>
        <v/>
      </c>
    </row>
    <row r="44">
      <c r="A44" s="13" t="n">
        <v>3</v>
      </c>
      <c r="B44" s="27">
        <f>IF(A44&lt;=$D$3,目標設定!$C$3+A44-1,"")</f>
        <v/>
      </c>
      <c r="C44" s="28" t="n"/>
      <c r="D44" s="28" t="n"/>
      <c r="E44" s="28" t="n"/>
      <c r="F44" s="28" t="n"/>
      <c r="G44" s="28" t="n"/>
      <c r="H44" s="28" t="n"/>
      <c r="I44" s="28" t="n"/>
      <c r="J44" s="29">
        <f>IF($B44="","",SUMIFS(機種販売入力!$H$4:$H$503,機種販売入力!$A$4:$A$503,$B44))</f>
        <v/>
      </c>
      <c r="K44" s="28" t="n"/>
      <c r="L44" s="28" t="n"/>
      <c r="M44" s="28" t="n"/>
      <c r="N44" s="28" t="n"/>
      <c r="O44" s="30">
        <f>IF(OR(COUNT(C44:I44,K44:N44)&gt;0,N(J44)&gt;0),1,0)</f>
        <v/>
      </c>
    </row>
    <row r="45">
      <c r="A45" s="13" t="n">
        <v>4</v>
      </c>
      <c r="B45" s="27">
        <f>IF(A45&lt;=$D$3,目標設定!$C$3+A45-1,"")</f>
        <v/>
      </c>
      <c r="C45" s="28" t="n"/>
      <c r="D45" s="28" t="n"/>
      <c r="E45" s="28" t="n"/>
      <c r="F45" s="28" t="n"/>
      <c r="G45" s="28" t="n"/>
      <c r="H45" s="28" t="n"/>
      <c r="I45" s="28" t="n"/>
      <c r="J45" s="29">
        <f>IF($B45="","",SUMIFS(機種販売入力!$H$4:$H$503,機種販売入力!$A$4:$A$503,$B45))</f>
        <v/>
      </c>
      <c r="K45" s="28" t="n"/>
      <c r="L45" s="28" t="n"/>
      <c r="M45" s="28" t="n"/>
      <c r="N45" s="28" t="n"/>
      <c r="O45" s="30">
        <f>IF(OR(COUNT(C45:I45,K45:N45)&gt;0,N(J45)&gt;0),1,0)</f>
        <v/>
      </c>
    </row>
    <row r="46">
      <c r="A46" s="13" t="n">
        <v>5</v>
      </c>
      <c r="B46" s="27">
        <f>IF(A46&lt;=$D$3,目標設定!$C$3+A46-1,"")</f>
        <v/>
      </c>
      <c r="C46" s="28" t="n"/>
      <c r="D46" s="28" t="n"/>
      <c r="E46" s="28" t="n"/>
      <c r="F46" s="28" t="n"/>
      <c r="G46" s="28" t="n"/>
      <c r="H46" s="28" t="n"/>
      <c r="I46" s="28" t="n"/>
      <c r="J46" s="29">
        <f>IF($B46="","",SUMIFS(機種販売入力!$H$4:$H$503,機種販売入力!$A$4:$A$503,$B46))</f>
        <v/>
      </c>
      <c r="K46" s="28" t="n"/>
      <c r="L46" s="28" t="n"/>
      <c r="M46" s="28" t="n"/>
      <c r="N46" s="28" t="n"/>
      <c r="O46" s="30">
        <f>IF(OR(COUNT(C46:I46,K46:N46)&gt;0,N(J46)&gt;0),1,0)</f>
        <v/>
      </c>
    </row>
    <row r="47">
      <c r="A47" s="13" t="n">
        <v>6</v>
      </c>
      <c r="B47" s="27">
        <f>IF(A47&lt;=$D$3,目標設定!$C$3+A47-1,"")</f>
        <v/>
      </c>
      <c r="C47" s="28" t="n"/>
      <c r="D47" s="28" t="n"/>
      <c r="E47" s="28" t="n"/>
      <c r="F47" s="28" t="n"/>
      <c r="G47" s="28" t="n"/>
      <c r="H47" s="28" t="n"/>
      <c r="I47" s="28" t="n"/>
      <c r="J47" s="29">
        <f>IF($B47="","",SUMIFS(機種販売入力!$H$4:$H$503,機種販売入力!$A$4:$A$503,$B47))</f>
        <v/>
      </c>
      <c r="K47" s="28" t="n"/>
      <c r="L47" s="28" t="n"/>
      <c r="M47" s="28" t="n"/>
      <c r="N47" s="28" t="n"/>
      <c r="O47" s="30">
        <f>IF(OR(COUNT(C47:I47,K47:N47)&gt;0,N(J47)&gt;0),1,0)</f>
        <v/>
      </c>
    </row>
    <row r="48">
      <c r="A48" s="13" t="n">
        <v>7</v>
      </c>
      <c r="B48" s="27">
        <f>IF(A48&lt;=$D$3,目標設定!$C$3+A48-1,"")</f>
        <v/>
      </c>
      <c r="C48" s="28" t="n"/>
      <c r="D48" s="28" t="n"/>
      <c r="E48" s="28" t="n"/>
      <c r="F48" s="28" t="n"/>
      <c r="G48" s="28" t="n"/>
      <c r="H48" s="28" t="n"/>
      <c r="I48" s="28" t="n"/>
      <c r="J48" s="29">
        <f>IF($B48="","",SUMIFS(機種販売入力!$H$4:$H$503,機種販売入力!$A$4:$A$503,$B48))</f>
        <v/>
      </c>
      <c r="K48" s="28" t="n"/>
      <c r="L48" s="28" t="n"/>
      <c r="M48" s="28" t="n"/>
      <c r="N48" s="28" t="n"/>
      <c r="O48" s="30">
        <f>IF(OR(COUNT(C48:I48,K48:N48)&gt;0,N(J48)&gt;0),1,0)</f>
        <v/>
      </c>
    </row>
    <row r="49">
      <c r="A49" s="13" t="n">
        <v>8</v>
      </c>
      <c r="B49" s="27">
        <f>IF(A49&lt;=$D$3,目標設定!$C$3+A49-1,"")</f>
        <v/>
      </c>
      <c r="C49" s="28" t="n"/>
      <c r="D49" s="28" t="n"/>
      <c r="E49" s="28" t="n"/>
      <c r="F49" s="28" t="n"/>
      <c r="G49" s="28" t="n"/>
      <c r="H49" s="28" t="n"/>
      <c r="I49" s="28" t="n"/>
      <c r="J49" s="29">
        <f>IF($B49="","",SUMIFS(機種販売入力!$H$4:$H$503,機種販売入力!$A$4:$A$503,$B49))</f>
        <v/>
      </c>
      <c r="K49" s="28" t="n"/>
      <c r="L49" s="28" t="n"/>
      <c r="M49" s="28" t="n"/>
      <c r="N49" s="28" t="n"/>
      <c r="O49" s="30">
        <f>IF(OR(COUNT(C49:I49,K49:N49)&gt;0,N(J49)&gt;0),1,0)</f>
        <v/>
      </c>
    </row>
    <row r="50">
      <c r="A50" s="13" t="n">
        <v>9</v>
      </c>
      <c r="B50" s="27">
        <f>IF(A50&lt;=$D$3,目標設定!$C$3+A50-1,"")</f>
        <v/>
      </c>
      <c r="C50" s="28" t="n"/>
      <c r="D50" s="28" t="n"/>
      <c r="E50" s="28" t="n"/>
      <c r="F50" s="28" t="n"/>
      <c r="G50" s="28" t="n"/>
      <c r="H50" s="28" t="n"/>
      <c r="I50" s="28" t="n"/>
      <c r="J50" s="29">
        <f>IF($B50="","",SUMIFS(機種販売入力!$H$4:$H$503,機種販売入力!$A$4:$A$503,$B50))</f>
        <v/>
      </c>
      <c r="K50" s="28" t="n"/>
      <c r="L50" s="28" t="n"/>
      <c r="M50" s="28" t="n"/>
      <c r="N50" s="28" t="n"/>
      <c r="O50" s="30">
        <f>IF(OR(COUNT(C50:I50,K50:N50)&gt;0,N(J50)&gt;0),1,0)</f>
        <v/>
      </c>
    </row>
    <row r="51">
      <c r="A51" s="13" t="n">
        <v>10</v>
      </c>
      <c r="B51" s="27">
        <f>IF(A51&lt;=$D$3,目標設定!$C$3+A51-1,"")</f>
        <v/>
      </c>
      <c r="C51" s="28" t="n"/>
      <c r="D51" s="28" t="n"/>
      <c r="E51" s="28" t="n"/>
      <c r="F51" s="28" t="n"/>
      <c r="G51" s="28" t="n"/>
      <c r="H51" s="28" t="n"/>
      <c r="I51" s="28" t="n"/>
      <c r="J51" s="29">
        <f>IF($B51="","",SUMIFS(機種販売入力!$H$4:$H$503,機種販売入力!$A$4:$A$503,$B51))</f>
        <v/>
      </c>
      <c r="K51" s="28" t="n"/>
      <c r="L51" s="28" t="n"/>
      <c r="M51" s="28" t="n"/>
      <c r="N51" s="28" t="n"/>
      <c r="O51" s="30">
        <f>IF(OR(COUNT(C51:I51,K51:N51)&gt;0,N(J51)&gt;0),1,0)</f>
        <v/>
      </c>
    </row>
    <row r="52">
      <c r="A52" s="13" t="n">
        <v>11</v>
      </c>
      <c r="B52" s="27">
        <f>IF(A52&lt;=$D$3,目標設定!$C$3+A52-1,"")</f>
        <v/>
      </c>
      <c r="C52" s="28" t="n"/>
      <c r="D52" s="28" t="n"/>
      <c r="E52" s="28" t="n"/>
      <c r="F52" s="28" t="n"/>
      <c r="G52" s="28" t="n"/>
      <c r="H52" s="28" t="n"/>
      <c r="I52" s="28" t="n"/>
      <c r="J52" s="29">
        <f>IF($B52="","",SUMIFS(機種販売入力!$H$4:$H$503,機種販売入力!$A$4:$A$503,$B52))</f>
        <v/>
      </c>
      <c r="K52" s="28" t="n"/>
      <c r="L52" s="28" t="n"/>
      <c r="M52" s="28" t="n"/>
      <c r="N52" s="28" t="n"/>
      <c r="O52" s="30">
        <f>IF(OR(COUNT(C52:I52,K52:N52)&gt;0,N(J52)&gt;0),1,0)</f>
        <v/>
      </c>
    </row>
    <row r="53">
      <c r="A53" s="13" t="n">
        <v>12</v>
      </c>
      <c r="B53" s="27">
        <f>IF(A53&lt;=$D$3,目標設定!$C$3+A53-1,"")</f>
        <v/>
      </c>
      <c r="C53" s="28" t="n"/>
      <c r="D53" s="28" t="n"/>
      <c r="E53" s="28" t="n"/>
      <c r="F53" s="28" t="n"/>
      <c r="G53" s="28" t="n"/>
      <c r="H53" s="28" t="n"/>
      <c r="I53" s="28" t="n"/>
      <c r="J53" s="29">
        <f>IF($B53="","",SUMIFS(機種販売入力!$H$4:$H$503,機種販売入力!$A$4:$A$503,$B53))</f>
        <v/>
      </c>
      <c r="K53" s="28" t="n"/>
      <c r="L53" s="28" t="n"/>
      <c r="M53" s="28" t="n"/>
      <c r="N53" s="28" t="n"/>
      <c r="O53" s="30">
        <f>IF(OR(COUNT(C53:I53,K53:N53)&gt;0,N(J53)&gt;0),1,0)</f>
        <v/>
      </c>
    </row>
    <row r="54">
      <c r="A54" s="13" t="n">
        <v>13</v>
      </c>
      <c r="B54" s="27">
        <f>IF(A54&lt;=$D$3,目標設定!$C$3+A54-1,"")</f>
        <v/>
      </c>
      <c r="C54" s="28" t="n"/>
      <c r="D54" s="28" t="n"/>
      <c r="E54" s="28" t="n"/>
      <c r="F54" s="28" t="n"/>
      <c r="G54" s="28" t="n"/>
      <c r="H54" s="28" t="n"/>
      <c r="I54" s="28" t="n"/>
      <c r="J54" s="29">
        <f>IF($B54="","",SUMIFS(機種販売入力!$H$4:$H$503,機種販売入力!$A$4:$A$503,$B54))</f>
        <v/>
      </c>
      <c r="K54" s="28" t="n"/>
      <c r="L54" s="28" t="n"/>
      <c r="M54" s="28" t="n"/>
      <c r="N54" s="28" t="n"/>
      <c r="O54" s="30">
        <f>IF(OR(COUNT(C54:I54,K54:N54)&gt;0,N(J54)&gt;0),1,0)</f>
        <v/>
      </c>
    </row>
    <row r="55">
      <c r="A55" s="13" t="n">
        <v>14</v>
      </c>
      <c r="B55" s="27">
        <f>IF(A55&lt;=$D$3,目標設定!$C$3+A55-1,"")</f>
        <v/>
      </c>
      <c r="C55" s="28" t="n"/>
      <c r="D55" s="28" t="n"/>
      <c r="E55" s="28" t="n"/>
      <c r="F55" s="28" t="n"/>
      <c r="G55" s="28" t="n"/>
      <c r="H55" s="28" t="n"/>
      <c r="I55" s="28" t="n"/>
      <c r="J55" s="29">
        <f>IF($B55="","",SUMIFS(機種販売入力!$H$4:$H$503,機種販売入力!$A$4:$A$503,$B55))</f>
        <v/>
      </c>
      <c r="K55" s="28" t="n"/>
      <c r="L55" s="28" t="n"/>
      <c r="M55" s="28" t="n"/>
      <c r="N55" s="28" t="n"/>
      <c r="O55" s="30">
        <f>IF(OR(COUNT(C55:I55,K55:N55)&gt;0,N(J55)&gt;0),1,0)</f>
        <v/>
      </c>
    </row>
    <row r="56">
      <c r="A56" s="13" t="n">
        <v>15</v>
      </c>
      <c r="B56" s="27">
        <f>IF(A56&lt;=$D$3,目標設定!$C$3+A56-1,"")</f>
        <v/>
      </c>
      <c r="C56" s="28" t="n"/>
      <c r="D56" s="28" t="n"/>
      <c r="E56" s="28" t="n"/>
      <c r="F56" s="28" t="n"/>
      <c r="G56" s="28" t="n"/>
      <c r="H56" s="28" t="n"/>
      <c r="I56" s="28" t="n"/>
      <c r="J56" s="29">
        <f>IF($B56="","",SUMIFS(機種販売入力!$H$4:$H$503,機種販売入力!$A$4:$A$503,$B56))</f>
        <v/>
      </c>
      <c r="K56" s="28" t="n"/>
      <c r="L56" s="28" t="n"/>
      <c r="M56" s="28" t="n"/>
      <c r="N56" s="28" t="n"/>
      <c r="O56" s="30">
        <f>IF(OR(COUNT(C56:I56,K56:N56)&gt;0,N(J56)&gt;0),1,0)</f>
        <v/>
      </c>
    </row>
    <row r="57">
      <c r="A57" s="13" t="n">
        <v>16</v>
      </c>
      <c r="B57" s="27">
        <f>IF(A57&lt;=$D$3,目標設定!$C$3+A57-1,"")</f>
        <v/>
      </c>
      <c r="C57" s="28" t="n"/>
      <c r="D57" s="28" t="n"/>
      <c r="E57" s="28" t="n"/>
      <c r="F57" s="28" t="n"/>
      <c r="G57" s="28" t="n"/>
      <c r="H57" s="28" t="n"/>
      <c r="I57" s="28" t="n"/>
      <c r="J57" s="29">
        <f>IF($B57="","",SUMIFS(機種販売入力!$H$4:$H$503,機種販売入力!$A$4:$A$503,$B57))</f>
        <v/>
      </c>
      <c r="K57" s="28" t="n"/>
      <c r="L57" s="28" t="n"/>
      <c r="M57" s="28" t="n"/>
      <c r="N57" s="28" t="n"/>
      <c r="O57" s="30">
        <f>IF(OR(COUNT(C57:I57,K57:N57)&gt;0,N(J57)&gt;0),1,0)</f>
        <v/>
      </c>
    </row>
    <row r="58">
      <c r="A58" s="13" t="n">
        <v>17</v>
      </c>
      <c r="B58" s="27">
        <f>IF(A58&lt;=$D$3,目標設定!$C$3+A58-1,"")</f>
        <v/>
      </c>
      <c r="C58" s="28" t="n"/>
      <c r="D58" s="28" t="n"/>
      <c r="E58" s="28" t="n"/>
      <c r="F58" s="28" t="n"/>
      <c r="G58" s="28" t="n"/>
      <c r="H58" s="28" t="n"/>
      <c r="I58" s="28" t="n"/>
      <c r="J58" s="29">
        <f>IF($B58="","",SUMIFS(機種販売入力!$H$4:$H$503,機種販売入力!$A$4:$A$503,$B58))</f>
        <v/>
      </c>
      <c r="K58" s="28" t="n"/>
      <c r="L58" s="28" t="n"/>
      <c r="M58" s="28" t="n"/>
      <c r="N58" s="28" t="n"/>
      <c r="O58" s="30">
        <f>IF(OR(COUNT(C58:I58,K58:N58)&gt;0,N(J58)&gt;0),1,0)</f>
        <v/>
      </c>
    </row>
    <row r="59">
      <c r="A59" s="13" t="n">
        <v>18</v>
      </c>
      <c r="B59" s="27">
        <f>IF(A59&lt;=$D$3,目標設定!$C$3+A59-1,"")</f>
        <v/>
      </c>
      <c r="C59" s="28" t="n"/>
      <c r="D59" s="28" t="n"/>
      <c r="E59" s="28" t="n"/>
      <c r="F59" s="28" t="n"/>
      <c r="G59" s="28" t="n"/>
      <c r="H59" s="28" t="n"/>
      <c r="I59" s="28" t="n"/>
      <c r="J59" s="29">
        <f>IF($B59="","",SUMIFS(機種販売入力!$H$4:$H$503,機種販売入力!$A$4:$A$503,$B59))</f>
        <v/>
      </c>
      <c r="K59" s="28" t="n"/>
      <c r="L59" s="28" t="n"/>
      <c r="M59" s="28" t="n"/>
      <c r="N59" s="28" t="n"/>
      <c r="O59" s="30">
        <f>IF(OR(COUNT(C59:I59,K59:N59)&gt;0,N(J59)&gt;0),1,0)</f>
        <v/>
      </c>
    </row>
    <row r="60">
      <c r="A60" s="13" t="n">
        <v>19</v>
      </c>
      <c r="B60" s="27">
        <f>IF(A60&lt;=$D$3,目標設定!$C$3+A60-1,"")</f>
        <v/>
      </c>
      <c r="C60" s="28" t="n"/>
      <c r="D60" s="28" t="n"/>
      <c r="E60" s="28" t="n"/>
      <c r="F60" s="28" t="n"/>
      <c r="G60" s="28" t="n"/>
      <c r="H60" s="28" t="n"/>
      <c r="I60" s="28" t="n"/>
      <c r="J60" s="29">
        <f>IF($B60="","",SUMIFS(機種販売入力!$H$4:$H$503,機種販売入力!$A$4:$A$503,$B60))</f>
        <v/>
      </c>
      <c r="K60" s="28" t="n"/>
      <c r="L60" s="28" t="n"/>
      <c r="M60" s="28" t="n"/>
      <c r="N60" s="28" t="n"/>
      <c r="O60" s="30">
        <f>IF(OR(COUNT(C60:I60,K60:N60)&gt;0,N(J60)&gt;0),1,0)</f>
        <v/>
      </c>
    </row>
    <row r="61">
      <c r="A61" s="13" t="n">
        <v>20</v>
      </c>
      <c r="B61" s="27">
        <f>IF(A61&lt;=$D$3,目標設定!$C$3+A61-1,"")</f>
        <v/>
      </c>
      <c r="C61" s="28" t="n"/>
      <c r="D61" s="28" t="n"/>
      <c r="E61" s="28" t="n"/>
      <c r="F61" s="28" t="n"/>
      <c r="G61" s="28" t="n"/>
      <c r="H61" s="28" t="n"/>
      <c r="I61" s="28" t="n"/>
      <c r="J61" s="29">
        <f>IF($B61="","",SUMIFS(機種販売入力!$H$4:$H$503,機種販売入力!$A$4:$A$503,$B61))</f>
        <v/>
      </c>
      <c r="K61" s="28" t="n"/>
      <c r="L61" s="28" t="n"/>
      <c r="M61" s="28" t="n"/>
      <c r="N61" s="28" t="n"/>
      <c r="O61" s="30">
        <f>IF(OR(COUNT(C61:I61,K61:N61)&gt;0,N(J61)&gt;0),1,0)</f>
        <v/>
      </c>
    </row>
    <row r="62">
      <c r="A62" s="13" t="n">
        <v>21</v>
      </c>
      <c r="B62" s="27">
        <f>IF(A62&lt;=$D$3,目標設定!$C$3+A62-1,"")</f>
        <v/>
      </c>
      <c r="C62" s="28" t="n"/>
      <c r="D62" s="28" t="n"/>
      <c r="E62" s="28" t="n"/>
      <c r="F62" s="28" t="n"/>
      <c r="G62" s="28" t="n"/>
      <c r="H62" s="28" t="n"/>
      <c r="I62" s="28" t="n"/>
      <c r="J62" s="29">
        <f>IF($B62="","",SUMIFS(機種販売入力!$H$4:$H$503,機種販売入力!$A$4:$A$503,$B62))</f>
        <v/>
      </c>
      <c r="K62" s="28" t="n"/>
      <c r="L62" s="28" t="n"/>
      <c r="M62" s="28" t="n"/>
      <c r="N62" s="28" t="n"/>
      <c r="O62" s="30">
        <f>IF(OR(COUNT(C62:I62,K62:N62)&gt;0,N(J62)&gt;0),1,0)</f>
        <v/>
      </c>
    </row>
    <row r="63">
      <c r="A63" s="13" t="n">
        <v>22</v>
      </c>
      <c r="B63" s="27">
        <f>IF(A63&lt;=$D$3,目標設定!$C$3+A63-1,"")</f>
        <v/>
      </c>
      <c r="C63" s="28" t="n"/>
      <c r="D63" s="28" t="n"/>
      <c r="E63" s="28" t="n"/>
      <c r="F63" s="28" t="n"/>
      <c r="G63" s="28" t="n"/>
      <c r="H63" s="28" t="n"/>
      <c r="I63" s="28" t="n"/>
      <c r="J63" s="29">
        <f>IF($B63="","",SUMIFS(機種販売入力!$H$4:$H$503,機種販売入力!$A$4:$A$503,$B63))</f>
        <v/>
      </c>
      <c r="K63" s="28" t="n"/>
      <c r="L63" s="28" t="n"/>
      <c r="M63" s="28" t="n"/>
      <c r="N63" s="28" t="n"/>
      <c r="O63" s="30">
        <f>IF(OR(COUNT(C63:I63,K63:N63)&gt;0,N(J63)&gt;0),1,0)</f>
        <v/>
      </c>
    </row>
    <row r="64">
      <c r="A64" s="13" t="n">
        <v>23</v>
      </c>
      <c r="B64" s="27">
        <f>IF(A64&lt;=$D$3,目標設定!$C$3+A64-1,"")</f>
        <v/>
      </c>
      <c r="C64" s="28" t="n"/>
      <c r="D64" s="28" t="n"/>
      <c r="E64" s="28" t="n"/>
      <c r="F64" s="28" t="n"/>
      <c r="G64" s="28" t="n"/>
      <c r="H64" s="28" t="n"/>
      <c r="I64" s="28" t="n"/>
      <c r="J64" s="29">
        <f>IF($B64="","",SUMIFS(機種販売入力!$H$4:$H$503,機種販売入力!$A$4:$A$503,$B64))</f>
        <v/>
      </c>
      <c r="K64" s="28" t="n"/>
      <c r="L64" s="28" t="n"/>
      <c r="M64" s="28" t="n"/>
      <c r="N64" s="28" t="n"/>
      <c r="O64" s="30">
        <f>IF(OR(COUNT(C64:I64,K64:N64)&gt;0,N(J64)&gt;0),1,0)</f>
        <v/>
      </c>
    </row>
    <row r="65">
      <c r="A65" s="13" t="n">
        <v>24</v>
      </c>
      <c r="B65" s="27">
        <f>IF(A65&lt;=$D$3,目標設定!$C$3+A65-1,"")</f>
        <v/>
      </c>
      <c r="C65" s="28" t="n"/>
      <c r="D65" s="28" t="n"/>
      <c r="E65" s="28" t="n"/>
      <c r="F65" s="28" t="n"/>
      <c r="G65" s="28" t="n"/>
      <c r="H65" s="28" t="n"/>
      <c r="I65" s="28" t="n"/>
      <c r="J65" s="29">
        <f>IF($B65="","",SUMIFS(機種販売入力!$H$4:$H$503,機種販売入力!$A$4:$A$503,$B65))</f>
        <v/>
      </c>
      <c r="K65" s="28" t="n"/>
      <c r="L65" s="28" t="n"/>
      <c r="M65" s="28" t="n"/>
      <c r="N65" s="28" t="n"/>
      <c r="O65" s="30">
        <f>IF(OR(COUNT(C65:I65,K65:N65)&gt;0,N(J65)&gt;0),1,0)</f>
        <v/>
      </c>
    </row>
    <row r="66">
      <c r="A66" s="13" t="n">
        <v>25</v>
      </c>
      <c r="B66" s="27">
        <f>IF(A66&lt;=$D$3,目標設定!$C$3+A66-1,"")</f>
        <v/>
      </c>
      <c r="C66" s="28" t="n"/>
      <c r="D66" s="28" t="n"/>
      <c r="E66" s="28" t="n"/>
      <c r="F66" s="28" t="n"/>
      <c r="G66" s="28" t="n"/>
      <c r="H66" s="28" t="n"/>
      <c r="I66" s="28" t="n"/>
      <c r="J66" s="29">
        <f>IF($B66="","",SUMIFS(機種販売入力!$H$4:$H$503,機種販売入力!$A$4:$A$503,$B66))</f>
        <v/>
      </c>
      <c r="K66" s="28" t="n"/>
      <c r="L66" s="28" t="n"/>
      <c r="M66" s="28" t="n"/>
      <c r="N66" s="28" t="n"/>
      <c r="O66" s="30">
        <f>IF(OR(COUNT(C66:I66,K66:N66)&gt;0,N(J66)&gt;0),1,0)</f>
        <v/>
      </c>
    </row>
    <row r="67">
      <c r="A67" s="13" t="n">
        <v>26</v>
      </c>
      <c r="B67" s="27">
        <f>IF(A67&lt;=$D$3,目標設定!$C$3+A67-1,"")</f>
        <v/>
      </c>
      <c r="C67" s="28" t="n"/>
      <c r="D67" s="28" t="n"/>
      <c r="E67" s="28" t="n"/>
      <c r="F67" s="28" t="n"/>
      <c r="G67" s="28" t="n"/>
      <c r="H67" s="28" t="n"/>
      <c r="I67" s="28" t="n"/>
      <c r="J67" s="29">
        <f>IF($B67="","",SUMIFS(機種販売入力!$H$4:$H$503,機種販売入力!$A$4:$A$503,$B67))</f>
        <v/>
      </c>
      <c r="K67" s="28" t="n"/>
      <c r="L67" s="28" t="n"/>
      <c r="M67" s="28" t="n"/>
      <c r="N67" s="28" t="n"/>
      <c r="O67" s="30">
        <f>IF(OR(COUNT(C67:I67,K67:N67)&gt;0,N(J67)&gt;0),1,0)</f>
        <v/>
      </c>
    </row>
    <row r="68">
      <c r="A68" s="13" t="n">
        <v>27</v>
      </c>
      <c r="B68" s="27">
        <f>IF(A68&lt;=$D$3,目標設定!$C$3+A68-1,"")</f>
        <v/>
      </c>
      <c r="C68" s="28" t="n"/>
      <c r="D68" s="28" t="n"/>
      <c r="E68" s="28" t="n"/>
      <c r="F68" s="28" t="n"/>
      <c r="G68" s="28" t="n"/>
      <c r="H68" s="28" t="n"/>
      <c r="I68" s="28" t="n"/>
      <c r="J68" s="29">
        <f>IF($B68="","",SUMIFS(機種販売入力!$H$4:$H$503,機種販売入力!$A$4:$A$503,$B68))</f>
        <v/>
      </c>
      <c r="K68" s="28" t="n"/>
      <c r="L68" s="28" t="n"/>
      <c r="M68" s="28" t="n"/>
      <c r="N68" s="28" t="n"/>
      <c r="O68" s="30">
        <f>IF(OR(COUNT(C68:I68,K68:N68)&gt;0,N(J68)&gt;0),1,0)</f>
        <v/>
      </c>
    </row>
    <row r="69">
      <c r="A69" s="13" t="n">
        <v>28</v>
      </c>
      <c r="B69" s="27">
        <f>IF(A69&lt;=$D$3,目標設定!$C$3+A69-1,"")</f>
        <v/>
      </c>
      <c r="C69" s="28" t="n"/>
      <c r="D69" s="28" t="n"/>
      <c r="E69" s="28" t="n"/>
      <c r="F69" s="28" t="n"/>
      <c r="G69" s="28" t="n"/>
      <c r="H69" s="28" t="n"/>
      <c r="I69" s="28" t="n"/>
      <c r="J69" s="29">
        <f>IF($B69="","",SUMIFS(機種販売入力!$H$4:$H$503,機種販売入力!$A$4:$A$503,$B69))</f>
        <v/>
      </c>
      <c r="K69" s="28" t="n"/>
      <c r="L69" s="28" t="n"/>
      <c r="M69" s="28" t="n"/>
      <c r="N69" s="28" t="n"/>
      <c r="O69" s="30">
        <f>IF(OR(COUNT(C69:I69,K69:N69)&gt;0,N(J69)&gt;0),1,0)</f>
        <v/>
      </c>
    </row>
    <row r="70">
      <c r="A70" s="13" t="n">
        <v>29</v>
      </c>
      <c r="B70" s="27">
        <f>IF(A70&lt;=$D$3,目標設定!$C$3+A70-1,"")</f>
        <v/>
      </c>
      <c r="C70" s="28" t="n"/>
      <c r="D70" s="28" t="n"/>
      <c r="E70" s="28" t="n"/>
      <c r="F70" s="28" t="n"/>
      <c r="G70" s="28" t="n"/>
      <c r="H70" s="28" t="n"/>
      <c r="I70" s="28" t="n"/>
      <c r="J70" s="29">
        <f>IF($B70="","",SUMIFS(機種販売入力!$H$4:$H$503,機種販売入力!$A$4:$A$503,$B70))</f>
        <v/>
      </c>
      <c r="K70" s="28" t="n"/>
      <c r="L70" s="28" t="n"/>
      <c r="M70" s="28" t="n"/>
      <c r="N70" s="28" t="n"/>
      <c r="O70" s="30">
        <f>IF(OR(COUNT(C70:I70,K70:N70)&gt;0,N(J70)&gt;0),1,0)</f>
        <v/>
      </c>
    </row>
    <row r="71">
      <c r="A71" s="13" t="n">
        <v>30</v>
      </c>
      <c r="B71" s="27">
        <f>IF(A71&lt;=$D$3,目標設定!$C$3+A71-1,"")</f>
        <v/>
      </c>
      <c r="C71" s="28" t="n"/>
      <c r="D71" s="28" t="n"/>
      <c r="E71" s="28" t="n"/>
      <c r="F71" s="28" t="n"/>
      <c r="G71" s="28" t="n"/>
      <c r="H71" s="28" t="n"/>
      <c r="I71" s="28" t="n"/>
      <c r="J71" s="29">
        <f>IF($B71="","",SUMIFS(機種販売入力!$H$4:$H$503,機種販売入力!$A$4:$A$503,$B71))</f>
        <v/>
      </c>
      <c r="K71" s="28" t="n"/>
      <c r="L71" s="28" t="n"/>
      <c r="M71" s="28" t="n"/>
      <c r="N71" s="28" t="n"/>
      <c r="O71" s="30">
        <f>IF(OR(COUNT(C71:I71,K71:N71)&gt;0,N(J71)&gt;0),1,0)</f>
        <v/>
      </c>
    </row>
    <row r="72">
      <c r="A72" s="13" t="n">
        <v>31</v>
      </c>
      <c r="B72" s="27">
        <f>IF(A72&lt;=$D$3,目標設定!$C$3+A72-1,"")</f>
        <v/>
      </c>
      <c r="C72" s="28" t="n"/>
      <c r="D72" s="28" t="n"/>
      <c r="E72" s="28" t="n"/>
      <c r="F72" s="28" t="n"/>
      <c r="G72" s="28" t="n"/>
      <c r="H72" s="28" t="n"/>
      <c r="I72" s="28" t="n"/>
      <c r="J72" s="29">
        <f>IF($B72="","",SUMIFS(機種販売入力!$H$4:$H$503,機種販売入力!$A$4:$A$503,$B72))</f>
        <v/>
      </c>
      <c r="K72" s="28" t="n"/>
      <c r="L72" s="28" t="n"/>
      <c r="M72" s="28" t="n"/>
      <c r="N72" s="28" t="n"/>
      <c r="O72" s="30">
        <f>IF(OR(COUNT(C72:I72,K72:N72)&gt;0,N(J72)&gt;0),1,0)</f>
        <v/>
      </c>
    </row>
    <row r="73">
      <c r="A73" s="18" t="inlineStr">
        <is>
          <t>月間合計</t>
        </is>
      </c>
      <c r="B73" s="18" t="n"/>
      <c r="C73" s="18">
        <f>SUM(C42:C72)</f>
        <v/>
      </c>
      <c r="D73" s="18">
        <f>SUM(D42:D72)</f>
        <v/>
      </c>
      <c r="E73" s="18">
        <f>SUM(E42:E72)</f>
        <v/>
      </c>
      <c r="F73" s="18">
        <f>SUM(F42:F72)</f>
        <v/>
      </c>
      <c r="G73" s="18">
        <f>SUM(G42:G72)</f>
        <v/>
      </c>
      <c r="H73" s="18">
        <f>SUM(H42:H72)</f>
        <v/>
      </c>
      <c r="I73" s="18">
        <f>SUM(I42:I72)</f>
        <v/>
      </c>
      <c r="J73" s="18">
        <f>SUM(J42:J72)</f>
        <v/>
      </c>
      <c r="K73" s="18">
        <f>SUM(K42:K72)</f>
        <v/>
      </c>
      <c r="L73" s="18">
        <f>SUM(L42:L72)</f>
        <v/>
      </c>
      <c r="M73" s="18">
        <f>SUM(M42:M72)</f>
        <v/>
      </c>
      <c r="N73" s="18">
        <f>SUM(N42:N72)</f>
        <v/>
      </c>
    </row>
    <row r="76">
      <c r="A76" s="23" t="inlineStr">
        <is>
          <t>■ 日別 累計達成率(累計実績÷月間目標・自動計算)</t>
        </is>
      </c>
    </row>
    <row r="77" ht="30" customHeight="1">
      <c r="A77" s="9" t="inlineStr">
        <is>
          <t>日</t>
        </is>
      </c>
      <c r="B77" s="9" t="inlineStr">
        <is>
          <t>日付</t>
        </is>
      </c>
      <c r="C77" s="9" t="inlineStr">
        <is>
          <t>新規
達成率</t>
        </is>
      </c>
      <c r="D77" s="9" t="inlineStr">
        <is>
          <t>MNP
達成率</t>
        </is>
      </c>
      <c r="E77" s="9" t="inlineStr">
        <is>
          <t>固定
達成率</t>
        </is>
      </c>
      <c r="F77" s="9" t="inlineStr">
        <is>
          <t>タブレット
達成率</t>
        </is>
      </c>
      <c r="G77" s="9" t="inlineStr">
        <is>
          <t>電気
達成率</t>
        </is>
      </c>
      <c r="H77" s="9" t="inlineStr">
        <is>
          <t>PPCD申込
達成率</t>
        </is>
      </c>
      <c r="I77" s="9" t="inlineStr">
        <is>
          <t>SB Gold申込
達成率</t>
        </is>
      </c>
      <c r="J77" s="9" t="inlineStr">
        <is>
          <t>戦略機種(Pt)
達成率</t>
        </is>
      </c>
      <c r="K77" s="9" t="inlineStr">
        <is>
          <t>Watch
達成率</t>
        </is>
      </c>
      <c r="L77" s="9" t="inlineStr">
        <is>
          <t>機変
達成率</t>
        </is>
      </c>
      <c r="M77" s="9" t="inlineStr">
        <is>
          <t>DMM
達成率</t>
        </is>
      </c>
      <c r="N77" s="9" t="inlineStr">
        <is>
          <t>YouTube
達成率</t>
        </is>
      </c>
      <c r="O77" s="9" t="inlineStr">
        <is>
          <t>理想ペース</t>
        </is>
      </c>
    </row>
    <row r="78">
      <c r="A78" s="13" t="n">
        <v>1</v>
      </c>
      <c r="B78" s="31">
        <f>B42</f>
        <v/>
      </c>
      <c r="C78" s="32">
        <f>IF(AND($B42&lt;&gt;"",$A42&lt;=$F$3,N(目標設定!$D$7)&gt;0),SUM(C$42:C42)/目標設定!$D$7,NA())</f>
        <v/>
      </c>
      <c r="D78" s="32">
        <f>IF(AND($B42&lt;&gt;"",$A42&lt;=$F$3,N(目標設定!$D$8)&gt;0),SUM(D$42:D42)/目標設定!$D$8,NA())</f>
        <v/>
      </c>
      <c r="E78" s="32">
        <f>IF(AND($B42&lt;&gt;"",$A42&lt;=$F$3,N(目標設定!$D$9)&gt;0),SUM(E$42:E42)/目標設定!$D$9,NA())</f>
        <v/>
      </c>
      <c r="F78" s="32">
        <f>IF(AND($B42&lt;&gt;"",$A42&lt;=$F$3,N(目標設定!$D$10)&gt;0),SUM(F$42:F42)/目標設定!$D$10,NA())</f>
        <v/>
      </c>
      <c r="G78" s="32">
        <f>IF(AND($B42&lt;&gt;"",$A42&lt;=$F$3,N(目標設定!$D$11)&gt;0),SUM(G$42:G42)/目標設定!$D$11,NA())</f>
        <v/>
      </c>
      <c r="H78" s="32">
        <f>IF(AND($B42&lt;&gt;"",$A42&lt;=$F$3,N(目標設定!$D$12)&gt;0),SUM(H$42:H42)/目標設定!$D$12,NA())</f>
        <v/>
      </c>
      <c r="I78" s="32">
        <f>IF(AND($B42&lt;&gt;"",$A42&lt;=$F$3,N(目標設定!$D$13)&gt;0),SUM(I$42:I42)/目標設定!$D$13,NA())</f>
        <v/>
      </c>
      <c r="J78" s="32">
        <f>IF(AND($B42&lt;&gt;"",$A42&lt;=$F$3,N(目標設定!$D$14)&gt;0),SUM(J$42:J42)/目標設定!$D$14,NA())</f>
        <v/>
      </c>
      <c r="K78" s="32">
        <f>IF(AND($B42&lt;&gt;"",$A42&lt;=$F$3,N(目標設定!$D$15)&gt;0),SUM(K$42:K42)/目標設定!$D$15,NA())</f>
        <v/>
      </c>
      <c r="L78" s="32">
        <f>IF(AND($B42&lt;&gt;"",$A42&lt;=$F$3,N(目標設定!$D$16)&gt;0),SUM(L$42:L42)/目標設定!$D$16,NA())</f>
        <v/>
      </c>
      <c r="M78" s="32">
        <f>IF(AND($B42&lt;&gt;"",$A42&lt;=$F$3,N(目標設定!$D$17)&gt;0),SUM(M$42:M42)/目標設定!$D$17,NA())</f>
        <v/>
      </c>
      <c r="N78" s="32">
        <f>IF(AND($B42&lt;&gt;"",$A42&lt;=$F$3,N(目標設定!$D$18)&gt;0),SUM(N$42:N42)/目標設定!$D$18,NA())</f>
        <v/>
      </c>
      <c r="O78" s="32">
        <f>IF($B78="",NA(),$A78/$D$3)</f>
        <v/>
      </c>
    </row>
    <row r="79">
      <c r="A79" s="13" t="n">
        <v>2</v>
      </c>
      <c r="B79" s="31">
        <f>B43</f>
        <v/>
      </c>
      <c r="C79" s="32">
        <f>IF(AND($B43&lt;&gt;"",$A43&lt;=$F$3,N(目標設定!$D$7)&gt;0),SUM(C$42:C43)/目標設定!$D$7,NA())</f>
        <v/>
      </c>
      <c r="D79" s="32">
        <f>IF(AND($B43&lt;&gt;"",$A43&lt;=$F$3,N(目標設定!$D$8)&gt;0),SUM(D$42:D43)/目標設定!$D$8,NA())</f>
        <v/>
      </c>
      <c r="E79" s="32">
        <f>IF(AND($B43&lt;&gt;"",$A43&lt;=$F$3,N(目標設定!$D$9)&gt;0),SUM(E$42:E43)/目標設定!$D$9,NA())</f>
        <v/>
      </c>
      <c r="F79" s="32">
        <f>IF(AND($B43&lt;&gt;"",$A43&lt;=$F$3,N(目標設定!$D$10)&gt;0),SUM(F$42:F43)/目標設定!$D$10,NA())</f>
        <v/>
      </c>
      <c r="G79" s="32">
        <f>IF(AND($B43&lt;&gt;"",$A43&lt;=$F$3,N(目標設定!$D$11)&gt;0),SUM(G$42:G43)/目標設定!$D$11,NA())</f>
        <v/>
      </c>
      <c r="H79" s="32">
        <f>IF(AND($B43&lt;&gt;"",$A43&lt;=$F$3,N(目標設定!$D$12)&gt;0),SUM(H$42:H43)/目標設定!$D$12,NA())</f>
        <v/>
      </c>
      <c r="I79" s="32">
        <f>IF(AND($B43&lt;&gt;"",$A43&lt;=$F$3,N(目標設定!$D$13)&gt;0),SUM(I$42:I43)/目標設定!$D$13,NA())</f>
        <v/>
      </c>
      <c r="J79" s="32">
        <f>IF(AND($B43&lt;&gt;"",$A43&lt;=$F$3,N(目標設定!$D$14)&gt;0),SUM(J$42:J43)/目標設定!$D$14,NA())</f>
        <v/>
      </c>
      <c r="K79" s="32">
        <f>IF(AND($B43&lt;&gt;"",$A43&lt;=$F$3,N(目標設定!$D$15)&gt;0),SUM(K$42:K43)/目標設定!$D$15,NA())</f>
        <v/>
      </c>
      <c r="L79" s="32">
        <f>IF(AND($B43&lt;&gt;"",$A43&lt;=$F$3,N(目標設定!$D$16)&gt;0),SUM(L$42:L43)/目標設定!$D$16,NA())</f>
        <v/>
      </c>
      <c r="M79" s="32">
        <f>IF(AND($B43&lt;&gt;"",$A43&lt;=$F$3,N(目標設定!$D$17)&gt;0),SUM(M$42:M43)/目標設定!$D$17,NA())</f>
        <v/>
      </c>
      <c r="N79" s="32">
        <f>IF(AND($B43&lt;&gt;"",$A43&lt;=$F$3,N(目標設定!$D$18)&gt;0),SUM(N$42:N43)/目標設定!$D$18,NA())</f>
        <v/>
      </c>
      <c r="O79" s="32">
        <f>IF($B79="",NA(),$A79/$D$3)</f>
        <v/>
      </c>
    </row>
    <row r="80">
      <c r="A80" s="13" t="n">
        <v>3</v>
      </c>
      <c r="B80" s="31">
        <f>B44</f>
        <v/>
      </c>
      <c r="C80" s="32">
        <f>IF(AND($B44&lt;&gt;"",$A44&lt;=$F$3,N(目標設定!$D$7)&gt;0),SUM(C$42:C44)/目標設定!$D$7,NA())</f>
        <v/>
      </c>
      <c r="D80" s="32">
        <f>IF(AND($B44&lt;&gt;"",$A44&lt;=$F$3,N(目標設定!$D$8)&gt;0),SUM(D$42:D44)/目標設定!$D$8,NA())</f>
        <v/>
      </c>
      <c r="E80" s="32">
        <f>IF(AND($B44&lt;&gt;"",$A44&lt;=$F$3,N(目標設定!$D$9)&gt;0),SUM(E$42:E44)/目標設定!$D$9,NA())</f>
        <v/>
      </c>
      <c r="F80" s="32">
        <f>IF(AND($B44&lt;&gt;"",$A44&lt;=$F$3,N(目標設定!$D$10)&gt;0),SUM(F$42:F44)/目標設定!$D$10,NA())</f>
        <v/>
      </c>
      <c r="G80" s="32">
        <f>IF(AND($B44&lt;&gt;"",$A44&lt;=$F$3,N(目標設定!$D$11)&gt;0),SUM(G$42:G44)/目標設定!$D$11,NA())</f>
        <v/>
      </c>
      <c r="H80" s="32">
        <f>IF(AND($B44&lt;&gt;"",$A44&lt;=$F$3,N(目標設定!$D$12)&gt;0),SUM(H$42:H44)/目標設定!$D$12,NA())</f>
        <v/>
      </c>
      <c r="I80" s="32">
        <f>IF(AND($B44&lt;&gt;"",$A44&lt;=$F$3,N(目標設定!$D$13)&gt;0),SUM(I$42:I44)/目標設定!$D$13,NA())</f>
        <v/>
      </c>
      <c r="J80" s="32">
        <f>IF(AND($B44&lt;&gt;"",$A44&lt;=$F$3,N(目標設定!$D$14)&gt;0),SUM(J$42:J44)/目標設定!$D$14,NA())</f>
        <v/>
      </c>
      <c r="K80" s="32">
        <f>IF(AND($B44&lt;&gt;"",$A44&lt;=$F$3,N(目標設定!$D$15)&gt;0),SUM(K$42:K44)/目標設定!$D$15,NA())</f>
        <v/>
      </c>
      <c r="L80" s="32">
        <f>IF(AND($B44&lt;&gt;"",$A44&lt;=$F$3,N(目標設定!$D$16)&gt;0),SUM(L$42:L44)/目標設定!$D$16,NA())</f>
        <v/>
      </c>
      <c r="M80" s="32">
        <f>IF(AND($B44&lt;&gt;"",$A44&lt;=$F$3,N(目標設定!$D$17)&gt;0),SUM(M$42:M44)/目標設定!$D$17,NA())</f>
        <v/>
      </c>
      <c r="N80" s="32">
        <f>IF(AND($B44&lt;&gt;"",$A44&lt;=$F$3,N(目標設定!$D$18)&gt;0),SUM(N$42:N44)/目標設定!$D$18,NA())</f>
        <v/>
      </c>
      <c r="O80" s="32">
        <f>IF($B80="",NA(),$A80/$D$3)</f>
        <v/>
      </c>
    </row>
    <row r="81">
      <c r="A81" s="13" t="n">
        <v>4</v>
      </c>
      <c r="B81" s="31">
        <f>B45</f>
        <v/>
      </c>
      <c r="C81" s="32">
        <f>IF(AND($B45&lt;&gt;"",$A45&lt;=$F$3,N(目標設定!$D$7)&gt;0),SUM(C$42:C45)/目標設定!$D$7,NA())</f>
        <v/>
      </c>
      <c r="D81" s="32">
        <f>IF(AND($B45&lt;&gt;"",$A45&lt;=$F$3,N(目標設定!$D$8)&gt;0),SUM(D$42:D45)/目標設定!$D$8,NA())</f>
        <v/>
      </c>
      <c r="E81" s="32">
        <f>IF(AND($B45&lt;&gt;"",$A45&lt;=$F$3,N(目標設定!$D$9)&gt;0),SUM(E$42:E45)/目標設定!$D$9,NA())</f>
        <v/>
      </c>
      <c r="F81" s="32">
        <f>IF(AND($B45&lt;&gt;"",$A45&lt;=$F$3,N(目標設定!$D$10)&gt;0),SUM(F$42:F45)/目標設定!$D$10,NA())</f>
        <v/>
      </c>
      <c r="G81" s="32">
        <f>IF(AND($B45&lt;&gt;"",$A45&lt;=$F$3,N(目標設定!$D$11)&gt;0),SUM(G$42:G45)/目標設定!$D$11,NA())</f>
        <v/>
      </c>
      <c r="H81" s="32">
        <f>IF(AND($B45&lt;&gt;"",$A45&lt;=$F$3,N(目標設定!$D$12)&gt;0),SUM(H$42:H45)/目標設定!$D$12,NA())</f>
        <v/>
      </c>
      <c r="I81" s="32">
        <f>IF(AND($B45&lt;&gt;"",$A45&lt;=$F$3,N(目標設定!$D$13)&gt;0),SUM(I$42:I45)/目標設定!$D$13,NA())</f>
        <v/>
      </c>
      <c r="J81" s="32">
        <f>IF(AND($B45&lt;&gt;"",$A45&lt;=$F$3,N(目標設定!$D$14)&gt;0),SUM(J$42:J45)/目標設定!$D$14,NA())</f>
        <v/>
      </c>
      <c r="K81" s="32">
        <f>IF(AND($B45&lt;&gt;"",$A45&lt;=$F$3,N(目標設定!$D$15)&gt;0),SUM(K$42:K45)/目標設定!$D$15,NA())</f>
        <v/>
      </c>
      <c r="L81" s="32">
        <f>IF(AND($B45&lt;&gt;"",$A45&lt;=$F$3,N(目標設定!$D$16)&gt;0),SUM(L$42:L45)/目標設定!$D$16,NA())</f>
        <v/>
      </c>
      <c r="M81" s="32">
        <f>IF(AND($B45&lt;&gt;"",$A45&lt;=$F$3,N(目標設定!$D$17)&gt;0),SUM(M$42:M45)/目標設定!$D$17,NA())</f>
        <v/>
      </c>
      <c r="N81" s="32">
        <f>IF(AND($B45&lt;&gt;"",$A45&lt;=$F$3,N(目標設定!$D$18)&gt;0),SUM(N$42:N45)/目標設定!$D$18,NA())</f>
        <v/>
      </c>
      <c r="O81" s="32">
        <f>IF($B81="",NA(),$A81/$D$3)</f>
        <v/>
      </c>
    </row>
    <row r="82">
      <c r="A82" s="13" t="n">
        <v>5</v>
      </c>
      <c r="B82" s="31">
        <f>B46</f>
        <v/>
      </c>
      <c r="C82" s="32">
        <f>IF(AND($B46&lt;&gt;"",$A46&lt;=$F$3,N(目標設定!$D$7)&gt;0),SUM(C$42:C46)/目標設定!$D$7,NA())</f>
        <v/>
      </c>
      <c r="D82" s="32">
        <f>IF(AND($B46&lt;&gt;"",$A46&lt;=$F$3,N(目標設定!$D$8)&gt;0),SUM(D$42:D46)/目標設定!$D$8,NA())</f>
        <v/>
      </c>
      <c r="E82" s="32">
        <f>IF(AND($B46&lt;&gt;"",$A46&lt;=$F$3,N(目標設定!$D$9)&gt;0),SUM(E$42:E46)/目標設定!$D$9,NA())</f>
        <v/>
      </c>
      <c r="F82" s="32">
        <f>IF(AND($B46&lt;&gt;"",$A46&lt;=$F$3,N(目標設定!$D$10)&gt;0),SUM(F$42:F46)/目標設定!$D$10,NA())</f>
        <v/>
      </c>
      <c r="G82" s="32">
        <f>IF(AND($B46&lt;&gt;"",$A46&lt;=$F$3,N(目標設定!$D$11)&gt;0),SUM(G$42:G46)/目標設定!$D$11,NA())</f>
        <v/>
      </c>
      <c r="H82" s="32">
        <f>IF(AND($B46&lt;&gt;"",$A46&lt;=$F$3,N(目標設定!$D$12)&gt;0),SUM(H$42:H46)/目標設定!$D$12,NA())</f>
        <v/>
      </c>
      <c r="I82" s="32">
        <f>IF(AND($B46&lt;&gt;"",$A46&lt;=$F$3,N(目標設定!$D$13)&gt;0),SUM(I$42:I46)/目標設定!$D$13,NA())</f>
        <v/>
      </c>
      <c r="J82" s="32">
        <f>IF(AND($B46&lt;&gt;"",$A46&lt;=$F$3,N(目標設定!$D$14)&gt;0),SUM(J$42:J46)/目標設定!$D$14,NA())</f>
        <v/>
      </c>
      <c r="K82" s="32">
        <f>IF(AND($B46&lt;&gt;"",$A46&lt;=$F$3,N(目標設定!$D$15)&gt;0),SUM(K$42:K46)/目標設定!$D$15,NA())</f>
        <v/>
      </c>
      <c r="L82" s="32">
        <f>IF(AND($B46&lt;&gt;"",$A46&lt;=$F$3,N(目標設定!$D$16)&gt;0),SUM(L$42:L46)/目標設定!$D$16,NA())</f>
        <v/>
      </c>
      <c r="M82" s="32">
        <f>IF(AND($B46&lt;&gt;"",$A46&lt;=$F$3,N(目標設定!$D$17)&gt;0),SUM(M$42:M46)/目標設定!$D$17,NA())</f>
        <v/>
      </c>
      <c r="N82" s="32">
        <f>IF(AND($B46&lt;&gt;"",$A46&lt;=$F$3,N(目標設定!$D$18)&gt;0),SUM(N$42:N46)/目標設定!$D$18,NA())</f>
        <v/>
      </c>
      <c r="O82" s="32">
        <f>IF($B82="",NA(),$A82/$D$3)</f>
        <v/>
      </c>
    </row>
    <row r="83">
      <c r="A83" s="13" t="n">
        <v>6</v>
      </c>
      <c r="B83" s="31">
        <f>B47</f>
        <v/>
      </c>
      <c r="C83" s="32">
        <f>IF(AND($B47&lt;&gt;"",$A47&lt;=$F$3,N(目標設定!$D$7)&gt;0),SUM(C$42:C47)/目標設定!$D$7,NA())</f>
        <v/>
      </c>
      <c r="D83" s="32">
        <f>IF(AND($B47&lt;&gt;"",$A47&lt;=$F$3,N(目標設定!$D$8)&gt;0),SUM(D$42:D47)/目標設定!$D$8,NA())</f>
        <v/>
      </c>
      <c r="E83" s="32">
        <f>IF(AND($B47&lt;&gt;"",$A47&lt;=$F$3,N(目標設定!$D$9)&gt;0),SUM(E$42:E47)/目標設定!$D$9,NA())</f>
        <v/>
      </c>
      <c r="F83" s="32">
        <f>IF(AND($B47&lt;&gt;"",$A47&lt;=$F$3,N(目標設定!$D$10)&gt;0),SUM(F$42:F47)/目標設定!$D$10,NA())</f>
        <v/>
      </c>
      <c r="G83" s="32">
        <f>IF(AND($B47&lt;&gt;"",$A47&lt;=$F$3,N(目標設定!$D$11)&gt;0),SUM(G$42:G47)/目標設定!$D$11,NA())</f>
        <v/>
      </c>
      <c r="H83" s="32">
        <f>IF(AND($B47&lt;&gt;"",$A47&lt;=$F$3,N(目標設定!$D$12)&gt;0),SUM(H$42:H47)/目標設定!$D$12,NA())</f>
        <v/>
      </c>
      <c r="I83" s="32">
        <f>IF(AND($B47&lt;&gt;"",$A47&lt;=$F$3,N(目標設定!$D$13)&gt;0),SUM(I$42:I47)/目標設定!$D$13,NA())</f>
        <v/>
      </c>
      <c r="J83" s="32">
        <f>IF(AND($B47&lt;&gt;"",$A47&lt;=$F$3,N(目標設定!$D$14)&gt;0),SUM(J$42:J47)/目標設定!$D$14,NA())</f>
        <v/>
      </c>
      <c r="K83" s="32">
        <f>IF(AND($B47&lt;&gt;"",$A47&lt;=$F$3,N(目標設定!$D$15)&gt;0),SUM(K$42:K47)/目標設定!$D$15,NA())</f>
        <v/>
      </c>
      <c r="L83" s="32">
        <f>IF(AND($B47&lt;&gt;"",$A47&lt;=$F$3,N(目標設定!$D$16)&gt;0),SUM(L$42:L47)/目標設定!$D$16,NA())</f>
        <v/>
      </c>
      <c r="M83" s="32">
        <f>IF(AND($B47&lt;&gt;"",$A47&lt;=$F$3,N(目標設定!$D$17)&gt;0),SUM(M$42:M47)/目標設定!$D$17,NA())</f>
        <v/>
      </c>
      <c r="N83" s="32">
        <f>IF(AND($B47&lt;&gt;"",$A47&lt;=$F$3,N(目標設定!$D$18)&gt;0),SUM(N$42:N47)/目標設定!$D$18,NA())</f>
        <v/>
      </c>
      <c r="O83" s="32">
        <f>IF($B83="",NA(),$A83/$D$3)</f>
        <v/>
      </c>
    </row>
    <row r="84">
      <c r="A84" s="13" t="n">
        <v>7</v>
      </c>
      <c r="B84" s="31">
        <f>B48</f>
        <v/>
      </c>
      <c r="C84" s="32">
        <f>IF(AND($B48&lt;&gt;"",$A48&lt;=$F$3,N(目標設定!$D$7)&gt;0),SUM(C$42:C48)/目標設定!$D$7,NA())</f>
        <v/>
      </c>
      <c r="D84" s="32">
        <f>IF(AND($B48&lt;&gt;"",$A48&lt;=$F$3,N(目標設定!$D$8)&gt;0),SUM(D$42:D48)/目標設定!$D$8,NA())</f>
        <v/>
      </c>
      <c r="E84" s="32">
        <f>IF(AND($B48&lt;&gt;"",$A48&lt;=$F$3,N(目標設定!$D$9)&gt;0),SUM(E$42:E48)/目標設定!$D$9,NA())</f>
        <v/>
      </c>
      <c r="F84" s="32">
        <f>IF(AND($B48&lt;&gt;"",$A48&lt;=$F$3,N(目標設定!$D$10)&gt;0),SUM(F$42:F48)/目標設定!$D$10,NA())</f>
        <v/>
      </c>
      <c r="G84" s="32">
        <f>IF(AND($B48&lt;&gt;"",$A48&lt;=$F$3,N(目標設定!$D$11)&gt;0),SUM(G$42:G48)/目標設定!$D$11,NA())</f>
        <v/>
      </c>
      <c r="H84" s="32">
        <f>IF(AND($B48&lt;&gt;"",$A48&lt;=$F$3,N(目標設定!$D$12)&gt;0),SUM(H$42:H48)/目標設定!$D$12,NA())</f>
        <v/>
      </c>
      <c r="I84" s="32">
        <f>IF(AND($B48&lt;&gt;"",$A48&lt;=$F$3,N(目標設定!$D$13)&gt;0),SUM(I$42:I48)/目標設定!$D$13,NA())</f>
        <v/>
      </c>
      <c r="J84" s="32">
        <f>IF(AND($B48&lt;&gt;"",$A48&lt;=$F$3,N(目標設定!$D$14)&gt;0),SUM(J$42:J48)/目標設定!$D$14,NA())</f>
        <v/>
      </c>
      <c r="K84" s="32">
        <f>IF(AND($B48&lt;&gt;"",$A48&lt;=$F$3,N(目標設定!$D$15)&gt;0),SUM(K$42:K48)/目標設定!$D$15,NA())</f>
        <v/>
      </c>
      <c r="L84" s="32">
        <f>IF(AND($B48&lt;&gt;"",$A48&lt;=$F$3,N(目標設定!$D$16)&gt;0),SUM(L$42:L48)/目標設定!$D$16,NA())</f>
        <v/>
      </c>
      <c r="M84" s="32">
        <f>IF(AND($B48&lt;&gt;"",$A48&lt;=$F$3,N(目標設定!$D$17)&gt;0),SUM(M$42:M48)/目標設定!$D$17,NA())</f>
        <v/>
      </c>
      <c r="N84" s="32">
        <f>IF(AND($B48&lt;&gt;"",$A48&lt;=$F$3,N(目標設定!$D$18)&gt;0),SUM(N$42:N48)/目標設定!$D$18,NA())</f>
        <v/>
      </c>
      <c r="O84" s="32">
        <f>IF($B84="",NA(),$A84/$D$3)</f>
        <v/>
      </c>
    </row>
    <row r="85">
      <c r="A85" s="13" t="n">
        <v>8</v>
      </c>
      <c r="B85" s="31">
        <f>B49</f>
        <v/>
      </c>
      <c r="C85" s="32">
        <f>IF(AND($B49&lt;&gt;"",$A49&lt;=$F$3,N(目標設定!$D$7)&gt;0),SUM(C$42:C49)/目標設定!$D$7,NA())</f>
        <v/>
      </c>
      <c r="D85" s="32">
        <f>IF(AND($B49&lt;&gt;"",$A49&lt;=$F$3,N(目標設定!$D$8)&gt;0),SUM(D$42:D49)/目標設定!$D$8,NA())</f>
        <v/>
      </c>
      <c r="E85" s="32">
        <f>IF(AND($B49&lt;&gt;"",$A49&lt;=$F$3,N(目標設定!$D$9)&gt;0),SUM(E$42:E49)/目標設定!$D$9,NA())</f>
        <v/>
      </c>
      <c r="F85" s="32">
        <f>IF(AND($B49&lt;&gt;"",$A49&lt;=$F$3,N(目標設定!$D$10)&gt;0),SUM(F$42:F49)/目標設定!$D$10,NA())</f>
        <v/>
      </c>
      <c r="G85" s="32">
        <f>IF(AND($B49&lt;&gt;"",$A49&lt;=$F$3,N(目標設定!$D$11)&gt;0),SUM(G$42:G49)/目標設定!$D$11,NA())</f>
        <v/>
      </c>
      <c r="H85" s="32">
        <f>IF(AND($B49&lt;&gt;"",$A49&lt;=$F$3,N(目標設定!$D$12)&gt;0),SUM(H$42:H49)/目標設定!$D$12,NA())</f>
        <v/>
      </c>
      <c r="I85" s="32">
        <f>IF(AND($B49&lt;&gt;"",$A49&lt;=$F$3,N(目標設定!$D$13)&gt;0),SUM(I$42:I49)/目標設定!$D$13,NA())</f>
        <v/>
      </c>
      <c r="J85" s="32">
        <f>IF(AND($B49&lt;&gt;"",$A49&lt;=$F$3,N(目標設定!$D$14)&gt;0),SUM(J$42:J49)/目標設定!$D$14,NA())</f>
        <v/>
      </c>
      <c r="K85" s="32">
        <f>IF(AND($B49&lt;&gt;"",$A49&lt;=$F$3,N(目標設定!$D$15)&gt;0),SUM(K$42:K49)/目標設定!$D$15,NA())</f>
        <v/>
      </c>
      <c r="L85" s="32">
        <f>IF(AND($B49&lt;&gt;"",$A49&lt;=$F$3,N(目標設定!$D$16)&gt;0),SUM(L$42:L49)/目標設定!$D$16,NA())</f>
        <v/>
      </c>
      <c r="M85" s="32">
        <f>IF(AND($B49&lt;&gt;"",$A49&lt;=$F$3,N(目標設定!$D$17)&gt;0),SUM(M$42:M49)/目標設定!$D$17,NA())</f>
        <v/>
      </c>
      <c r="N85" s="32">
        <f>IF(AND($B49&lt;&gt;"",$A49&lt;=$F$3,N(目標設定!$D$18)&gt;0),SUM(N$42:N49)/目標設定!$D$18,NA())</f>
        <v/>
      </c>
      <c r="O85" s="32">
        <f>IF($B85="",NA(),$A85/$D$3)</f>
        <v/>
      </c>
    </row>
    <row r="86">
      <c r="A86" s="13" t="n">
        <v>9</v>
      </c>
      <c r="B86" s="31">
        <f>B50</f>
        <v/>
      </c>
      <c r="C86" s="32">
        <f>IF(AND($B50&lt;&gt;"",$A50&lt;=$F$3,N(目標設定!$D$7)&gt;0),SUM(C$42:C50)/目標設定!$D$7,NA())</f>
        <v/>
      </c>
      <c r="D86" s="32">
        <f>IF(AND($B50&lt;&gt;"",$A50&lt;=$F$3,N(目標設定!$D$8)&gt;0),SUM(D$42:D50)/目標設定!$D$8,NA())</f>
        <v/>
      </c>
      <c r="E86" s="32">
        <f>IF(AND($B50&lt;&gt;"",$A50&lt;=$F$3,N(目標設定!$D$9)&gt;0),SUM(E$42:E50)/目標設定!$D$9,NA())</f>
        <v/>
      </c>
      <c r="F86" s="32">
        <f>IF(AND($B50&lt;&gt;"",$A50&lt;=$F$3,N(目標設定!$D$10)&gt;0),SUM(F$42:F50)/目標設定!$D$10,NA())</f>
        <v/>
      </c>
      <c r="G86" s="32">
        <f>IF(AND($B50&lt;&gt;"",$A50&lt;=$F$3,N(目標設定!$D$11)&gt;0),SUM(G$42:G50)/目標設定!$D$11,NA())</f>
        <v/>
      </c>
      <c r="H86" s="32">
        <f>IF(AND($B50&lt;&gt;"",$A50&lt;=$F$3,N(目標設定!$D$12)&gt;0),SUM(H$42:H50)/目標設定!$D$12,NA())</f>
        <v/>
      </c>
      <c r="I86" s="32">
        <f>IF(AND($B50&lt;&gt;"",$A50&lt;=$F$3,N(目標設定!$D$13)&gt;0),SUM(I$42:I50)/目標設定!$D$13,NA())</f>
        <v/>
      </c>
      <c r="J86" s="32">
        <f>IF(AND($B50&lt;&gt;"",$A50&lt;=$F$3,N(目標設定!$D$14)&gt;0),SUM(J$42:J50)/目標設定!$D$14,NA())</f>
        <v/>
      </c>
      <c r="K86" s="32">
        <f>IF(AND($B50&lt;&gt;"",$A50&lt;=$F$3,N(目標設定!$D$15)&gt;0),SUM(K$42:K50)/目標設定!$D$15,NA())</f>
        <v/>
      </c>
      <c r="L86" s="32">
        <f>IF(AND($B50&lt;&gt;"",$A50&lt;=$F$3,N(目標設定!$D$16)&gt;0),SUM(L$42:L50)/目標設定!$D$16,NA())</f>
        <v/>
      </c>
      <c r="M86" s="32">
        <f>IF(AND($B50&lt;&gt;"",$A50&lt;=$F$3,N(目標設定!$D$17)&gt;0),SUM(M$42:M50)/目標設定!$D$17,NA())</f>
        <v/>
      </c>
      <c r="N86" s="32">
        <f>IF(AND($B50&lt;&gt;"",$A50&lt;=$F$3,N(目標設定!$D$18)&gt;0),SUM(N$42:N50)/目標設定!$D$18,NA())</f>
        <v/>
      </c>
      <c r="O86" s="32">
        <f>IF($B86="",NA(),$A86/$D$3)</f>
        <v/>
      </c>
    </row>
    <row r="87">
      <c r="A87" s="13" t="n">
        <v>10</v>
      </c>
      <c r="B87" s="31">
        <f>B51</f>
        <v/>
      </c>
      <c r="C87" s="32">
        <f>IF(AND($B51&lt;&gt;"",$A51&lt;=$F$3,N(目標設定!$D$7)&gt;0),SUM(C$42:C51)/目標設定!$D$7,NA())</f>
        <v/>
      </c>
      <c r="D87" s="32">
        <f>IF(AND($B51&lt;&gt;"",$A51&lt;=$F$3,N(目標設定!$D$8)&gt;0),SUM(D$42:D51)/目標設定!$D$8,NA())</f>
        <v/>
      </c>
      <c r="E87" s="32">
        <f>IF(AND($B51&lt;&gt;"",$A51&lt;=$F$3,N(目標設定!$D$9)&gt;0),SUM(E$42:E51)/目標設定!$D$9,NA())</f>
        <v/>
      </c>
      <c r="F87" s="32">
        <f>IF(AND($B51&lt;&gt;"",$A51&lt;=$F$3,N(目標設定!$D$10)&gt;0),SUM(F$42:F51)/目標設定!$D$10,NA())</f>
        <v/>
      </c>
      <c r="G87" s="32">
        <f>IF(AND($B51&lt;&gt;"",$A51&lt;=$F$3,N(目標設定!$D$11)&gt;0),SUM(G$42:G51)/目標設定!$D$11,NA())</f>
        <v/>
      </c>
      <c r="H87" s="32">
        <f>IF(AND($B51&lt;&gt;"",$A51&lt;=$F$3,N(目標設定!$D$12)&gt;0),SUM(H$42:H51)/目標設定!$D$12,NA())</f>
        <v/>
      </c>
      <c r="I87" s="32">
        <f>IF(AND($B51&lt;&gt;"",$A51&lt;=$F$3,N(目標設定!$D$13)&gt;0),SUM(I$42:I51)/目標設定!$D$13,NA())</f>
        <v/>
      </c>
      <c r="J87" s="32">
        <f>IF(AND($B51&lt;&gt;"",$A51&lt;=$F$3,N(目標設定!$D$14)&gt;0),SUM(J$42:J51)/目標設定!$D$14,NA())</f>
        <v/>
      </c>
      <c r="K87" s="32">
        <f>IF(AND($B51&lt;&gt;"",$A51&lt;=$F$3,N(目標設定!$D$15)&gt;0),SUM(K$42:K51)/目標設定!$D$15,NA())</f>
        <v/>
      </c>
      <c r="L87" s="32">
        <f>IF(AND($B51&lt;&gt;"",$A51&lt;=$F$3,N(目標設定!$D$16)&gt;0),SUM(L$42:L51)/目標設定!$D$16,NA())</f>
        <v/>
      </c>
      <c r="M87" s="32">
        <f>IF(AND($B51&lt;&gt;"",$A51&lt;=$F$3,N(目標設定!$D$17)&gt;0),SUM(M$42:M51)/目標設定!$D$17,NA())</f>
        <v/>
      </c>
      <c r="N87" s="32">
        <f>IF(AND($B51&lt;&gt;"",$A51&lt;=$F$3,N(目標設定!$D$18)&gt;0),SUM(N$42:N51)/目標設定!$D$18,NA())</f>
        <v/>
      </c>
      <c r="O87" s="32">
        <f>IF($B87="",NA(),$A87/$D$3)</f>
        <v/>
      </c>
    </row>
    <row r="88">
      <c r="A88" s="13" t="n">
        <v>11</v>
      </c>
      <c r="B88" s="31">
        <f>B52</f>
        <v/>
      </c>
      <c r="C88" s="32">
        <f>IF(AND($B52&lt;&gt;"",$A52&lt;=$F$3,N(目標設定!$D$7)&gt;0),SUM(C$42:C52)/目標設定!$D$7,NA())</f>
        <v/>
      </c>
      <c r="D88" s="32">
        <f>IF(AND($B52&lt;&gt;"",$A52&lt;=$F$3,N(目標設定!$D$8)&gt;0),SUM(D$42:D52)/目標設定!$D$8,NA())</f>
        <v/>
      </c>
      <c r="E88" s="32">
        <f>IF(AND($B52&lt;&gt;"",$A52&lt;=$F$3,N(目標設定!$D$9)&gt;0),SUM(E$42:E52)/目標設定!$D$9,NA())</f>
        <v/>
      </c>
      <c r="F88" s="32">
        <f>IF(AND($B52&lt;&gt;"",$A52&lt;=$F$3,N(目標設定!$D$10)&gt;0),SUM(F$42:F52)/目標設定!$D$10,NA())</f>
        <v/>
      </c>
      <c r="G88" s="32">
        <f>IF(AND($B52&lt;&gt;"",$A52&lt;=$F$3,N(目標設定!$D$11)&gt;0),SUM(G$42:G52)/目標設定!$D$11,NA())</f>
        <v/>
      </c>
      <c r="H88" s="32">
        <f>IF(AND($B52&lt;&gt;"",$A52&lt;=$F$3,N(目標設定!$D$12)&gt;0),SUM(H$42:H52)/目標設定!$D$12,NA())</f>
        <v/>
      </c>
      <c r="I88" s="32">
        <f>IF(AND($B52&lt;&gt;"",$A52&lt;=$F$3,N(目標設定!$D$13)&gt;0),SUM(I$42:I52)/目標設定!$D$13,NA())</f>
        <v/>
      </c>
      <c r="J88" s="32">
        <f>IF(AND($B52&lt;&gt;"",$A52&lt;=$F$3,N(目標設定!$D$14)&gt;0),SUM(J$42:J52)/目標設定!$D$14,NA())</f>
        <v/>
      </c>
      <c r="K88" s="32">
        <f>IF(AND($B52&lt;&gt;"",$A52&lt;=$F$3,N(目標設定!$D$15)&gt;0),SUM(K$42:K52)/目標設定!$D$15,NA())</f>
        <v/>
      </c>
      <c r="L88" s="32">
        <f>IF(AND($B52&lt;&gt;"",$A52&lt;=$F$3,N(目標設定!$D$16)&gt;0),SUM(L$42:L52)/目標設定!$D$16,NA())</f>
        <v/>
      </c>
      <c r="M88" s="32">
        <f>IF(AND($B52&lt;&gt;"",$A52&lt;=$F$3,N(目標設定!$D$17)&gt;0),SUM(M$42:M52)/目標設定!$D$17,NA())</f>
        <v/>
      </c>
      <c r="N88" s="32">
        <f>IF(AND($B52&lt;&gt;"",$A52&lt;=$F$3,N(目標設定!$D$18)&gt;0),SUM(N$42:N52)/目標設定!$D$18,NA())</f>
        <v/>
      </c>
      <c r="O88" s="32">
        <f>IF($B88="",NA(),$A88/$D$3)</f>
        <v/>
      </c>
    </row>
    <row r="89">
      <c r="A89" s="13" t="n">
        <v>12</v>
      </c>
      <c r="B89" s="31">
        <f>B53</f>
        <v/>
      </c>
      <c r="C89" s="32">
        <f>IF(AND($B53&lt;&gt;"",$A53&lt;=$F$3,N(目標設定!$D$7)&gt;0),SUM(C$42:C53)/目標設定!$D$7,NA())</f>
        <v/>
      </c>
      <c r="D89" s="32">
        <f>IF(AND($B53&lt;&gt;"",$A53&lt;=$F$3,N(目標設定!$D$8)&gt;0),SUM(D$42:D53)/目標設定!$D$8,NA())</f>
        <v/>
      </c>
      <c r="E89" s="32">
        <f>IF(AND($B53&lt;&gt;"",$A53&lt;=$F$3,N(目標設定!$D$9)&gt;0),SUM(E$42:E53)/目標設定!$D$9,NA())</f>
        <v/>
      </c>
      <c r="F89" s="32">
        <f>IF(AND($B53&lt;&gt;"",$A53&lt;=$F$3,N(目標設定!$D$10)&gt;0),SUM(F$42:F53)/目標設定!$D$10,NA())</f>
        <v/>
      </c>
      <c r="G89" s="32">
        <f>IF(AND($B53&lt;&gt;"",$A53&lt;=$F$3,N(目標設定!$D$11)&gt;0),SUM(G$42:G53)/目標設定!$D$11,NA())</f>
        <v/>
      </c>
      <c r="H89" s="32">
        <f>IF(AND($B53&lt;&gt;"",$A53&lt;=$F$3,N(目標設定!$D$12)&gt;0),SUM(H$42:H53)/目標設定!$D$12,NA())</f>
        <v/>
      </c>
      <c r="I89" s="32">
        <f>IF(AND($B53&lt;&gt;"",$A53&lt;=$F$3,N(目標設定!$D$13)&gt;0),SUM(I$42:I53)/目標設定!$D$13,NA())</f>
        <v/>
      </c>
      <c r="J89" s="32">
        <f>IF(AND($B53&lt;&gt;"",$A53&lt;=$F$3,N(目標設定!$D$14)&gt;0),SUM(J$42:J53)/目標設定!$D$14,NA())</f>
        <v/>
      </c>
      <c r="K89" s="32">
        <f>IF(AND($B53&lt;&gt;"",$A53&lt;=$F$3,N(目標設定!$D$15)&gt;0),SUM(K$42:K53)/目標設定!$D$15,NA())</f>
        <v/>
      </c>
      <c r="L89" s="32">
        <f>IF(AND($B53&lt;&gt;"",$A53&lt;=$F$3,N(目標設定!$D$16)&gt;0),SUM(L$42:L53)/目標設定!$D$16,NA())</f>
        <v/>
      </c>
      <c r="M89" s="32">
        <f>IF(AND($B53&lt;&gt;"",$A53&lt;=$F$3,N(目標設定!$D$17)&gt;0),SUM(M$42:M53)/目標設定!$D$17,NA())</f>
        <v/>
      </c>
      <c r="N89" s="32">
        <f>IF(AND($B53&lt;&gt;"",$A53&lt;=$F$3,N(目標設定!$D$18)&gt;0),SUM(N$42:N53)/目標設定!$D$18,NA())</f>
        <v/>
      </c>
      <c r="O89" s="32">
        <f>IF($B89="",NA(),$A89/$D$3)</f>
        <v/>
      </c>
    </row>
    <row r="90">
      <c r="A90" s="13" t="n">
        <v>13</v>
      </c>
      <c r="B90" s="31">
        <f>B54</f>
        <v/>
      </c>
      <c r="C90" s="32">
        <f>IF(AND($B54&lt;&gt;"",$A54&lt;=$F$3,N(目標設定!$D$7)&gt;0),SUM(C$42:C54)/目標設定!$D$7,NA())</f>
        <v/>
      </c>
      <c r="D90" s="32">
        <f>IF(AND($B54&lt;&gt;"",$A54&lt;=$F$3,N(目標設定!$D$8)&gt;0),SUM(D$42:D54)/目標設定!$D$8,NA())</f>
        <v/>
      </c>
      <c r="E90" s="32">
        <f>IF(AND($B54&lt;&gt;"",$A54&lt;=$F$3,N(目標設定!$D$9)&gt;0),SUM(E$42:E54)/目標設定!$D$9,NA())</f>
        <v/>
      </c>
      <c r="F90" s="32">
        <f>IF(AND($B54&lt;&gt;"",$A54&lt;=$F$3,N(目標設定!$D$10)&gt;0),SUM(F$42:F54)/目標設定!$D$10,NA())</f>
        <v/>
      </c>
      <c r="G90" s="32">
        <f>IF(AND($B54&lt;&gt;"",$A54&lt;=$F$3,N(目標設定!$D$11)&gt;0),SUM(G$42:G54)/目標設定!$D$11,NA())</f>
        <v/>
      </c>
      <c r="H90" s="32">
        <f>IF(AND($B54&lt;&gt;"",$A54&lt;=$F$3,N(目標設定!$D$12)&gt;0),SUM(H$42:H54)/目標設定!$D$12,NA())</f>
        <v/>
      </c>
      <c r="I90" s="32">
        <f>IF(AND($B54&lt;&gt;"",$A54&lt;=$F$3,N(目標設定!$D$13)&gt;0),SUM(I$42:I54)/目標設定!$D$13,NA())</f>
        <v/>
      </c>
      <c r="J90" s="32">
        <f>IF(AND($B54&lt;&gt;"",$A54&lt;=$F$3,N(目標設定!$D$14)&gt;0),SUM(J$42:J54)/目標設定!$D$14,NA())</f>
        <v/>
      </c>
      <c r="K90" s="32">
        <f>IF(AND($B54&lt;&gt;"",$A54&lt;=$F$3,N(目標設定!$D$15)&gt;0),SUM(K$42:K54)/目標設定!$D$15,NA())</f>
        <v/>
      </c>
      <c r="L90" s="32">
        <f>IF(AND($B54&lt;&gt;"",$A54&lt;=$F$3,N(目標設定!$D$16)&gt;0),SUM(L$42:L54)/目標設定!$D$16,NA())</f>
        <v/>
      </c>
      <c r="M90" s="32">
        <f>IF(AND($B54&lt;&gt;"",$A54&lt;=$F$3,N(目標設定!$D$17)&gt;0),SUM(M$42:M54)/目標設定!$D$17,NA())</f>
        <v/>
      </c>
      <c r="N90" s="32">
        <f>IF(AND($B54&lt;&gt;"",$A54&lt;=$F$3,N(目標設定!$D$18)&gt;0),SUM(N$42:N54)/目標設定!$D$18,NA())</f>
        <v/>
      </c>
      <c r="O90" s="32">
        <f>IF($B90="",NA(),$A90/$D$3)</f>
        <v/>
      </c>
    </row>
    <row r="91">
      <c r="A91" s="13" t="n">
        <v>14</v>
      </c>
      <c r="B91" s="31">
        <f>B55</f>
        <v/>
      </c>
      <c r="C91" s="32">
        <f>IF(AND($B55&lt;&gt;"",$A55&lt;=$F$3,N(目標設定!$D$7)&gt;0),SUM(C$42:C55)/目標設定!$D$7,NA())</f>
        <v/>
      </c>
      <c r="D91" s="32">
        <f>IF(AND($B55&lt;&gt;"",$A55&lt;=$F$3,N(目標設定!$D$8)&gt;0),SUM(D$42:D55)/目標設定!$D$8,NA())</f>
        <v/>
      </c>
      <c r="E91" s="32">
        <f>IF(AND($B55&lt;&gt;"",$A55&lt;=$F$3,N(目標設定!$D$9)&gt;0),SUM(E$42:E55)/目標設定!$D$9,NA())</f>
        <v/>
      </c>
      <c r="F91" s="32">
        <f>IF(AND($B55&lt;&gt;"",$A55&lt;=$F$3,N(目標設定!$D$10)&gt;0),SUM(F$42:F55)/目標設定!$D$10,NA())</f>
        <v/>
      </c>
      <c r="G91" s="32">
        <f>IF(AND($B55&lt;&gt;"",$A55&lt;=$F$3,N(目標設定!$D$11)&gt;0),SUM(G$42:G55)/目標設定!$D$11,NA())</f>
        <v/>
      </c>
      <c r="H91" s="32">
        <f>IF(AND($B55&lt;&gt;"",$A55&lt;=$F$3,N(目標設定!$D$12)&gt;0),SUM(H$42:H55)/目標設定!$D$12,NA())</f>
        <v/>
      </c>
      <c r="I91" s="32">
        <f>IF(AND($B55&lt;&gt;"",$A55&lt;=$F$3,N(目標設定!$D$13)&gt;0),SUM(I$42:I55)/目標設定!$D$13,NA())</f>
        <v/>
      </c>
      <c r="J91" s="32">
        <f>IF(AND($B55&lt;&gt;"",$A55&lt;=$F$3,N(目標設定!$D$14)&gt;0),SUM(J$42:J55)/目標設定!$D$14,NA())</f>
        <v/>
      </c>
      <c r="K91" s="32">
        <f>IF(AND($B55&lt;&gt;"",$A55&lt;=$F$3,N(目標設定!$D$15)&gt;0),SUM(K$42:K55)/目標設定!$D$15,NA())</f>
        <v/>
      </c>
      <c r="L91" s="32">
        <f>IF(AND($B55&lt;&gt;"",$A55&lt;=$F$3,N(目標設定!$D$16)&gt;0),SUM(L$42:L55)/目標設定!$D$16,NA())</f>
        <v/>
      </c>
      <c r="M91" s="32">
        <f>IF(AND($B55&lt;&gt;"",$A55&lt;=$F$3,N(目標設定!$D$17)&gt;0),SUM(M$42:M55)/目標設定!$D$17,NA())</f>
        <v/>
      </c>
      <c r="N91" s="32">
        <f>IF(AND($B55&lt;&gt;"",$A55&lt;=$F$3,N(目標設定!$D$18)&gt;0),SUM(N$42:N55)/目標設定!$D$18,NA())</f>
        <v/>
      </c>
      <c r="O91" s="32">
        <f>IF($B91="",NA(),$A91/$D$3)</f>
        <v/>
      </c>
    </row>
    <row r="92">
      <c r="A92" s="13" t="n">
        <v>15</v>
      </c>
      <c r="B92" s="31">
        <f>B56</f>
        <v/>
      </c>
      <c r="C92" s="32">
        <f>IF(AND($B56&lt;&gt;"",$A56&lt;=$F$3,N(目標設定!$D$7)&gt;0),SUM(C$42:C56)/目標設定!$D$7,NA())</f>
        <v/>
      </c>
      <c r="D92" s="32">
        <f>IF(AND($B56&lt;&gt;"",$A56&lt;=$F$3,N(目標設定!$D$8)&gt;0),SUM(D$42:D56)/目標設定!$D$8,NA())</f>
        <v/>
      </c>
      <c r="E92" s="32">
        <f>IF(AND($B56&lt;&gt;"",$A56&lt;=$F$3,N(目標設定!$D$9)&gt;0),SUM(E$42:E56)/目標設定!$D$9,NA())</f>
        <v/>
      </c>
      <c r="F92" s="32">
        <f>IF(AND($B56&lt;&gt;"",$A56&lt;=$F$3,N(目標設定!$D$10)&gt;0),SUM(F$42:F56)/目標設定!$D$10,NA())</f>
        <v/>
      </c>
      <c r="G92" s="32">
        <f>IF(AND($B56&lt;&gt;"",$A56&lt;=$F$3,N(目標設定!$D$11)&gt;0),SUM(G$42:G56)/目標設定!$D$11,NA())</f>
        <v/>
      </c>
      <c r="H92" s="32">
        <f>IF(AND($B56&lt;&gt;"",$A56&lt;=$F$3,N(目標設定!$D$12)&gt;0),SUM(H$42:H56)/目標設定!$D$12,NA())</f>
        <v/>
      </c>
      <c r="I92" s="32">
        <f>IF(AND($B56&lt;&gt;"",$A56&lt;=$F$3,N(目標設定!$D$13)&gt;0),SUM(I$42:I56)/目標設定!$D$13,NA())</f>
        <v/>
      </c>
      <c r="J92" s="32">
        <f>IF(AND($B56&lt;&gt;"",$A56&lt;=$F$3,N(目標設定!$D$14)&gt;0),SUM(J$42:J56)/目標設定!$D$14,NA())</f>
        <v/>
      </c>
      <c r="K92" s="32">
        <f>IF(AND($B56&lt;&gt;"",$A56&lt;=$F$3,N(目標設定!$D$15)&gt;0),SUM(K$42:K56)/目標設定!$D$15,NA())</f>
        <v/>
      </c>
      <c r="L92" s="32">
        <f>IF(AND($B56&lt;&gt;"",$A56&lt;=$F$3,N(目標設定!$D$16)&gt;0),SUM(L$42:L56)/目標設定!$D$16,NA())</f>
        <v/>
      </c>
      <c r="M92" s="32">
        <f>IF(AND($B56&lt;&gt;"",$A56&lt;=$F$3,N(目標設定!$D$17)&gt;0),SUM(M$42:M56)/目標設定!$D$17,NA())</f>
        <v/>
      </c>
      <c r="N92" s="32">
        <f>IF(AND($B56&lt;&gt;"",$A56&lt;=$F$3,N(目標設定!$D$18)&gt;0),SUM(N$42:N56)/目標設定!$D$18,NA())</f>
        <v/>
      </c>
      <c r="O92" s="32">
        <f>IF($B92="",NA(),$A92/$D$3)</f>
        <v/>
      </c>
    </row>
    <row r="93">
      <c r="A93" s="13" t="n">
        <v>16</v>
      </c>
      <c r="B93" s="31">
        <f>B57</f>
        <v/>
      </c>
      <c r="C93" s="32">
        <f>IF(AND($B57&lt;&gt;"",$A57&lt;=$F$3,N(目標設定!$D$7)&gt;0),SUM(C$42:C57)/目標設定!$D$7,NA())</f>
        <v/>
      </c>
      <c r="D93" s="32">
        <f>IF(AND($B57&lt;&gt;"",$A57&lt;=$F$3,N(目標設定!$D$8)&gt;0),SUM(D$42:D57)/目標設定!$D$8,NA())</f>
        <v/>
      </c>
      <c r="E93" s="32">
        <f>IF(AND($B57&lt;&gt;"",$A57&lt;=$F$3,N(目標設定!$D$9)&gt;0),SUM(E$42:E57)/目標設定!$D$9,NA())</f>
        <v/>
      </c>
      <c r="F93" s="32">
        <f>IF(AND($B57&lt;&gt;"",$A57&lt;=$F$3,N(目標設定!$D$10)&gt;0),SUM(F$42:F57)/目標設定!$D$10,NA())</f>
        <v/>
      </c>
      <c r="G93" s="32">
        <f>IF(AND($B57&lt;&gt;"",$A57&lt;=$F$3,N(目標設定!$D$11)&gt;0),SUM(G$42:G57)/目標設定!$D$11,NA())</f>
        <v/>
      </c>
      <c r="H93" s="32">
        <f>IF(AND($B57&lt;&gt;"",$A57&lt;=$F$3,N(目標設定!$D$12)&gt;0),SUM(H$42:H57)/目標設定!$D$12,NA())</f>
        <v/>
      </c>
      <c r="I93" s="32">
        <f>IF(AND($B57&lt;&gt;"",$A57&lt;=$F$3,N(目標設定!$D$13)&gt;0),SUM(I$42:I57)/目標設定!$D$13,NA())</f>
        <v/>
      </c>
      <c r="J93" s="32">
        <f>IF(AND($B57&lt;&gt;"",$A57&lt;=$F$3,N(目標設定!$D$14)&gt;0),SUM(J$42:J57)/目標設定!$D$14,NA())</f>
        <v/>
      </c>
      <c r="K93" s="32">
        <f>IF(AND($B57&lt;&gt;"",$A57&lt;=$F$3,N(目標設定!$D$15)&gt;0),SUM(K$42:K57)/目標設定!$D$15,NA())</f>
        <v/>
      </c>
      <c r="L93" s="32">
        <f>IF(AND($B57&lt;&gt;"",$A57&lt;=$F$3,N(目標設定!$D$16)&gt;0),SUM(L$42:L57)/目標設定!$D$16,NA())</f>
        <v/>
      </c>
      <c r="M93" s="32">
        <f>IF(AND($B57&lt;&gt;"",$A57&lt;=$F$3,N(目標設定!$D$17)&gt;0),SUM(M$42:M57)/目標設定!$D$17,NA())</f>
        <v/>
      </c>
      <c r="N93" s="32">
        <f>IF(AND($B57&lt;&gt;"",$A57&lt;=$F$3,N(目標設定!$D$18)&gt;0),SUM(N$42:N57)/目標設定!$D$18,NA())</f>
        <v/>
      </c>
      <c r="O93" s="32">
        <f>IF($B93="",NA(),$A93/$D$3)</f>
        <v/>
      </c>
    </row>
    <row r="94">
      <c r="A94" s="13" t="n">
        <v>17</v>
      </c>
      <c r="B94" s="31">
        <f>B58</f>
        <v/>
      </c>
      <c r="C94" s="32">
        <f>IF(AND($B58&lt;&gt;"",$A58&lt;=$F$3,N(目標設定!$D$7)&gt;0),SUM(C$42:C58)/目標設定!$D$7,NA())</f>
        <v/>
      </c>
      <c r="D94" s="32">
        <f>IF(AND($B58&lt;&gt;"",$A58&lt;=$F$3,N(目標設定!$D$8)&gt;0),SUM(D$42:D58)/目標設定!$D$8,NA())</f>
        <v/>
      </c>
      <c r="E94" s="32">
        <f>IF(AND($B58&lt;&gt;"",$A58&lt;=$F$3,N(目標設定!$D$9)&gt;0),SUM(E$42:E58)/目標設定!$D$9,NA())</f>
        <v/>
      </c>
      <c r="F94" s="32">
        <f>IF(AND($B58&lt;&gt;"",$A58&lt;=$F$3,N(目標設定!$D$10)&gt;0),SUM(F$42:F58)/目標設定!$D$10,NA())</f>
        <v/>
      </c>
      <c r="G94" s="32">
        <f>IF(AND($B58&lt;&gt;"",$A58&lt;=$F$3,N(目標設定!$D$11)&gt;0),SUM(G$42:G58)/目標設定!$D$11,NA())</f>
        <v/>
      </c>
      <c r="H94" s="32">
        <f>IF(AND($B58&lt;&gt;"",$A58&lt;=$F$3,N(目標設定!$D$12)&gt;0),SUM(H$42:H58)/目標設定!$D$12,NA())</f>
        <v/>
      </c>
      <c r="I94" s="32">
        <f>IF(AND($B58&lt;&gt;"",$A58&lt;=$F$3,N(目標設定!$D$13)&gt;0),SUM(I$42:I58)/目標設定!$D$13,NA())</f>
        <v/>
      </c>
      <c r="J94" s="32">
        <f>IF(AND($B58&lt;&gt;"",$A58&lt;=$F$3,N(目標設定!$D$14)&gt;0),SUM(J$42:J58)/目標設定!$D$14,NA())</f>
        <v/>
      </c>
      <c r="K94" s="32">
        <f>IF(AND($B58&lt;&gt;"",$A58&lt;=$F$3,N(目標設定!$D$15)&gt;0),SUM(K$42:K58)/目標設定!$D$15,NA())</f>
        <v/>
      </c>
      <c r="L94" s="32">
        <f>IF(AND($B58&lt;&gt;"",$A58&lt;=$F$3,N(目標設定!$D$16)&gt;0),SUM(L$42:L58)/目標設定!$D$16,NA())</f>
        <v/>
      </c>
      <c r="M94" s="32">
        <f>IF(AND($B58&lt;&gt;"",$A58&lt;=$F$3,N(目標設定!$D$17)&gt;0),SUM(M$42:M58)/目標設定!$D$17,NA())</f>
        <v/>
      </c>
      <c r="N94" s="32">
        <f>IF(AND($B58&lt;&gt;"",$A58&lt;=$F$3,N(目標設定!$D$18)&gt;0),SUM(N$42:N58)/目標設定!$D$18,NA())</f>
        <v/>
      </c>
      <c r="O94" s="32">
        <f>IF($B94="",NA(),$A94/$D$3)</f>
        <v/>
      </c>
    </row>
    <row r="95">
      <c r="A95" s="13" t="n">
        <v>18</v>
      </c>
      <c r="B95" s="31">
        <f>B59</f>
        <v/>
      </c>
      <c r="C95" s="32">
        <f>IF(AND($B59&lt;&gt;"",$A59&lt;=$F$3,N(目標設定!$D$7)&gt;0),SUM(C$42:C59)/目標設定!$D$7,NA())</f>
        <v/>
      </c>
      <c r="D95" s="32">
        <f>IF(AND($B59&lt;&gt;"",$A59&lt;=$F$3,N(目標設定!$D$8)&gt;0),SUM(D$42:D59)/目標設定!$D$8,NA())</f>
        <v/>
      </c>
      <c r="E95" s="32">
        <f>IF(AND($B59&lt;&gt;"",$A59&lt;=$F$3,N(目標設定!$D$9)&gt;0),SUM(E$42:E59)/目標設定!$D$9,NA())</f>
        <v/>
      </c>
      <c r="F95" s="32">
        <f>IF(AND($B59&lt;&gt;"",$A59&lt;=$F$3,N(目標設定!$D$10)&gt;0),SUM(F$42:F59)/目標設定!$D$10,NA())</f>
        <v/>
      </c>
      <c r="G95" s="32">
        <f>IF(AND($B59&lt;&gt;"",$A59&lt;=$F$3,N(目標設定!$D$11)&gt;0),SUM(G$42:G59)/目標設定!$D$11,NA())</f>
        <v/>
      </c>
      <c r="H95" s="32">
        <f>IF(AND($B59&lt;&gt;"",$A59&lt;=$F$3,N(目標設定!$D$12)&gt;0),SUM(H$42:H59)/目標設定!$D$12,NA())</f>
        <v/>
      </c>
      <c r="I95" s="32">
        <f>IF(AND($B59&lt;&gt;"",$A59&lt;=$F$3,N(目標設定!$D$13)&gt;0),SUM(I$42:I59)/目標設定!$D$13,NA())</f>
        <v/>
      </c>
      <c r="J95" s="32">
        <f>IF(AND($B59&lt;&gt;"",$A59&lt;=$F$3,N(目標設定!$D$14)&gt;0),SUM(J$42:J59)/目標設定!$D$14,NA())</f>
        <v/>
      </c>
      <c r="K95" s="32">
        <f>IF(AND($B59&lt;&gt;"",$A59&lt;=$F$3,N(目標設定!$D$15)&gt;0),SUM(K$42:K59)/目標設定!$D$15,NA())</f>
        <v/>
      </c>
      <c r="L95" s="32">
        <f>IF(AND($B59&lt;&gt;"",$A59&lt;=$F$3,N(目標設定!$D$16)&gt;0),SUM(L$42:L59)/目標設定!$D$16,NA())</f>
        <v/>
      </c>
      <c r="M95" s="32">
        <f>IF(AND($B59&lt;&gt;"",$A59&lt;=$F$3,N(目標設定!$D$17)&gt;0),SUM(M$42:M59)/目標設定!$D$17,NA())</f>
        <v/>
      </c>
      <c r="N95" s="32">
        <f>IF(AND($B59&lt;&gt;"",$A59&lt;=$F$3,N(目標設定!$D$18)&gt;0),SUM(N$42:N59)/目標設定!$D$18,NA())</f>
        <v/>
      </c>
      <c r="O95" s="32">
        <f>IF($B95="",NA(),$A95/$D$3)</f>
        <v/>
      </c>
    </row>
    <row r="96">
      <c r="A96" s="13" t="n">
        <v>19</v>
      </c>
      <c r="B96" s="31">
        <f>B60</f>
        <v/>
      </c>
      <c r="C96" s="32">
        <f>IF(AND($B60&lt;&gt;"",$A60&lt;=$F$3,N(目標設定!$D$7)&gt;0),SUM(C$42:C60)/目標設定!$D$7,NA())</f>
        <v/>
      </c>
      <c r="D96" s="32">
        <f>IF(AND($B60&lt;&gt;"",$A60&lt;=$F$3,N(目標設定!$D$8)&gt;0),SUM(D$42:D60)/目標設定!$D$8,NA())</f>
        <v/>
      </c>
      <c r="E96" s="32">
        <f>IF(AND($B60&lt;&gt;"",$A60&lt;=$F$3,N(目標設定!$D$9)&gt;0),SUM(E$42:E60)/目標設定!$D$9,NA())</f>
        <v/>
      </c>
      <c r="F96" s="32">
        <f>IF(AND($B60&lt;&gt;"",$A60&lt;=$F$3,N(目標設定!$D$10)&gt;0),SUM(F$42:F60)/目標設定!$D$10,NA())</f>
        <v/>
      </c>
      <c r="G96" s="32">
        <f>IF(AND($B60&lt;&gt;"",$A60&lt;=$F$3,N(目標設定!$D$11)&gt;0),SUM(G$42:G60)/目標設定!$D$11,NA())</f>
        <v/>
      </c>
      <c r="H96" s="32">
        <f>IF(AND($B60&lt;&gt;"",$A60&lt;=$F$3,N(目標設定!$D$12)&gt;0),SUM(H$42:H60)/目標設定!$D$12,NA())</f>
        <v/>
      </c>
      <c r="I96" s="32">
        <f>IF(AND($B60&lt;&gt;"",$A60&lt;=$F$3,N(目標設定!$D$13)&gt;0),SUM(I$42:I60)/目標設定!$D$13,NA())</f>
        <v/>
      </c>
      <c r="J96" s="32">
        <f>IF(AND($B60&lt;&gt;"",$A60&lt;=$F$3,N(目標設定!$D$14)&gt;0),SUM(J$42:J60)/目標設定!$D$14,NA())</f>
        <v/>
      </c>
      <c r="K96" s="32">
        <f>IF(AND($B60&lt;&gt;"",$A60&lt;=$F$3,N(目標設定!$D$15)&gt;0),SUM(K$42:K60)/目標設定!$D$15,NA())</f>
        <v/>
      </c>
      <c r="L96" s="32">
        <f>IF(AND($B60&lt;&gt;"",$A60&lt;=$F$3,N(目標設定!$D$16)&gt;0),SUM(L$42:L60)/目標設定!$D$16,NA())</f>
        <v/>
      </c>
      <c r="M96" s="32">
        <f>IF(AND($B60&lt;&gt;"",$A60&lt;=$F$3,N(目標設定!$D$17)&gt;0),SUM(M$42:M60)/目標設定!$D$17,NA())</f>
        <v/>
      </c>
      <c r="N96" s="32">
        <f>IF(AND($B60&lt;&gt;"",$A60&lt;=$F$3,N(目標設定!$D$18)&gt;0),SUM(N$42:N60)/目標設定!$D$18,NA())</f>
        <v/>
      </c>
      <c r="O96" s="32">
        <f>IF($B96="",NA(),$A96/$D$3)</f>
        <v/>
      </c>
    </row>
    <row r="97">
      <c r="A97" s="13" t="n">
        <v>20</v>
      </c>
      <c r="B97" s="31">
        <f>B61</f>
        <v/>
      </c>
      <c r="C97" s="32">
        <f>IF(AND($B61&lt;&gt;"",$A61&lt;=$F$3,N(目標設定!$D$7)&gt;0),SUM(C$42:C61)/目標設定!$D$7,NA())</f>
        <v/>
      </c>
      <c r="D97" s="32">
        <f>IF(AND($B61&lt;&gt;"",$A61&lt;=$F$3,N(目標設定!$D$8)&gt;0),SUM(D$42:D61)/目標設定!$D$8,NA())</f>
        <v/>
      </c>
      <c r="E97" s="32">
        <f>IF(AND($B61&lt;&gt;"",$A61&lt;=$F$3,N(目標設定!$D$9)&gt;0),SUM(E$42:E61)/目標設定!$D$9,NA())</f>
        <v/>
      </c>
      <c r="F97" s="32">
        <f>IF(AND($B61&lt;&gt;"",$A61&lt;=$F$3,N(目標設定!$D$10)&gt;0),SUM(F$42:F61)/目標設定!$D$10,NA())</f>
        <v/>
      </c>
      <c r="G97" s="32">
        <f>IF(AND($B61&lt;&gt;"",$A61&lt;=$F$3,N(目標設定!$D$11)&gt;0),SUM(G$42:G61)/目標設定!$D$11,NA())</f>
        <v/>
      </c>
      <c r="H97" s="32">
        <f>IF(AND($B61&lt;&gt;"",$A61&lt;=$F$3,N(目標設定!$D$12)&gt;0),SUM(H$42:H61)/目標設定!$D$12,NA())</f>
        <v/>
      </c>
      <c r="I97" s="32">
        <f>IF(AND($B61&lt;&gt;"",$A61&lt;=$F$3,N(目標設定!$D$13)&gt;0),SUM(I$42:I61)/目標設定!$D$13,NA())</f>
        <v/>
      </c>
      <c r="J97" s="32">
        <f>IF(AND($B61&lt;&gt;"",$A61&lt;=$F$3,N(目標設定!$D$14)&gt;0),SUM(J$42:J61)/目標設定!$D$14,NA())</f>
        <v/>
      </c>
      <c r="K97" s="32">
        <f>IF(AND($B61&lt;&gt;"",$A61&lt;=$F$3,N(目標設定!$D$15)&gt;0),SUM(K$42:K61)/目標設定!$D$15,NA())</f>
        <v/>
      </c>
      <c r="L97" s="32">
        <f>IF(AND($B61&lt;&gt;"",$A61&lt;=$F$3,N(目標設定!$D$16)&gt;0),SUM(L$42:L61)/目標設定!$D$16,NA())</f>
        <v/>
      </c>
      <c r="M97" s="32">
        <f>IF(AND($B61&lt;&gt;"",$A61&lt;=$F$3,N(目標設定!$D$17)&gt;0),SUM(M$42:M61)/目標設定!$D$17,NA())</f>
        <v/>
      </c>
      <c r="N97" s="32">
        <f>IF(AND($B61&lt;&gt;"",$A61&lt;=$F$3,N(目標設定!$D$18)&gt;0),SUM(N$42:N61)/目標設定!$D$18,NA())</f>
        <v/>
      </c>
      <c r="O97" s="32">
        <f>IF($B97="",NA(),$A97/$D$3)</f>
        <v/>
      </c>
    </row>
    <row r="98">
      <c r="A98" s="13" t="n">
        <v>21</v>
      </c>
      <c r="B98" s="31">
        <f>B62</f>
        <v/>
      </c>
      <c r="C98" s="32">
        <f>IF(AND($B62&lt;&gt;"",$A62&lt;=$F$3,N(目標設定!$D$7)&gt;0),SUM(C$42:C62)/目標設定!$D$7,NA())</f>
        <v/>
      </c>
      <c r="D98" s="32">
        <f>IF(AND($B62&lt;&gt;"",$A62&lt;=$F$3,N(目標設定!$D$8)&gt;0),SUM(D$42:D62)/目標設定!$D$8,NA())</f>
        <v/>
      </c>
      <c r="E98" s="32">
        <f>IF(AND($B62&lt;&gt;"",$A62&lt;=$F$3,N(目標設定!$D$9)&gt;0),SUM(E$42:E62)/目標設定!$D$9,NA())</f>
        <v/>
      </c>
      <c r="F98" s="32">
        <f>IF(AND($B62&lt;&gt;"",$A62&lt;=$F$3,N(目標設定!$D$10)&gt;0),SUM(F$42:F62)/目標設定!$D$10,NA())</f>
        <v/>
      </c>
      <c r="G98" s="32">
        <f>IF(AND($B62&lt;&gt;"",$A62&lt;=$F$3,N(目標設定!$D$11)&gt;0),SUM(G$42:G62)/目標設定!$D$11,NA())</f>
        <v/>
      </c>
      <c r="H98" s="32">
        <f>IF(AND($B62&lt;&gt;"",$A62&lt;=$F$3,N(目標設定!$D$12)&gt;0),SUM(H$42:H62)/目標設定!$D$12,NA())</f>
        <v/>
      </c>
      <c r="I98" s="32">
        <f>IF(AND($B62&lt;&gt;"",$A62&lt;=$F$3,N(目標設定!$D$13)&gt;0),SUM(I$42:I62)/目標設定!$D$13,NA())</f>
        <v/>
      </c>
      <c r="J98" s="32">
        <f>IF(AND($B62&lt;&gt;"",$A62&lt;=$F$3,N(目標設定!$D$14)&gt;0),SUM(J$42:J62)/目標設定!$D$14,NA())</f>
        <v/>
      </c>
      <c r="K98" s="32">
        <f>IF(AND($B62&lt;&gt;"",$A62&lt;=$F$3,N(目標設定!$D$15)&gt;0),SUM(K$42:K62)/目標設定!$D$15,NA())</f>
        <v/>
      </c>
      <c r="L98" s="32">
        <f>IF(AND($B62&lt;&gt;"",$A62&lt;=$F$3,N(目標設定!$D$16)&gt;0),SUM(L$42:L62)/目標設定!$D$16,NA())</f>
        <v/>
      </c>
      <c r="M98" s="32">
        <f>IF(AND($B62&lt;&gt;"",$A62&lt;=$F$3,N(目標設定!$D$17)&gt;0),SUM(M$42:M62)/目標設定!$D$17,NA())</f>
        <v/>
      </c>
      <c r="N98" s="32">
        <f>IF(AND($B62&lt;&gt;"",$A62&lt;=$F$3,N(目標設定!$D$18)&gt;0),SUM(N$42:N62)/目標設定!$D$18,NA())</f>
        <v/>
      </c>
      <c r="O98" s="32">
        <f>IF($B98="",NA(),$A98/$D$3)</f>
        <v/>
      </c>
    </row>
    <row r="99">
      <c r="A99" s="13" t="n">
        <v>22</v>
      </c>
      <c r="B99" s="31">
        <f>B63</f>
        <v/>
      </c>
      <c r="C99" s="32">
        <f>IF(AND($B63&lt;&gt;"",$A63&lt;=$F$3,N(目標設定!$D$7)&gt;0),SUM(C$42:C63)/目標設定!$D$7,NA())</f>
        <v/>
      </c>
      <c r="D99" s="32">
        <f>IF(AND($B63&lt;&gt;"",$A63&lt;=$F$3,N(目標設定!$D$8)&gt;0),SUM(D$42:D63)/目標設定!$D$8,NA())</f>
        <v/>
      </c>
      <c r="E99" s="32">
        <f>IF(AND($B63&lt;&gt;"",$A63&lt;=$F$3,N(目標設定!$D$9)&gt;0),SUM(E$42:E63)/目標設定!$D$9,NA())</f>
        <v/>
      </c>
      <c r="F99" s="32">
        <f>IF(AND($B63&lt;&gt;"",$A63&lt;=$F$3,N(目標設定!$D$10)&gt;0),SUM(F$42:F63)/目標設定!$D$10,NA())</f>
        <v/>
      </c>
      <c r="G99" s="32">
        <f>IF(AND($B63&lt;&gt;"",$A63&lt;=$F$3,N(目標設定!$D$11)&gt;0),SUM(G$42:G63)/目標設定!$D$11,NA())</f>
        <v/>
      </c>
      <c r="H99" s="32">
        <f>IF(AND($B63&lt;&gt;"",$A63&lt;=$F$3,N(目標設定!$D$12)&gt;0),SUM(H$42:H63)/目標設定!$D$12,NA())</f>
        <v/>
      </c>
      <c r="I99" s="32">
        <f>IF(AND($B63&lt;&gt;"",$A63&lt;=$F$3,N(目標設定!$D$13)&gt;0),SUM(I$42:I63)/目標設定!$D$13,NA())</f>
        <v/>
      </c>
      <c r="J99" s="32">
        <f>IF(AND($B63&lt;&gt;"",$A63&lt;=$F$3,N(目標設定!$D$14)&gt;0),SUM(J$42:J63)/目標設定!$D$14,NA())</f>
        <v/>
      </c>
      <c r="K99" s="32">
        <f>IF(AND($B63&lt;&gt;"",$A63&lt;=$F$3,N(目標設定!$D$15)&gt;0),SUM(K$42:K63)/目標設定!$D$15,NA())</f>
        <v/>
      </c>
      <c r="L99" s="32">
        <f>IF(AND($B63&lt;&gt;"",$A63&lt;=$F$3,N(目標設定!$D$16)&gt;0),SUM(L$42:L63)/目標設定!$D$16,NA())</f>
        <v/>
      </c>
      <c r="M99" s="32">
        <f>IF(AND($B63&lt;&gt;"",$A63&lt;=$F$3,N(目標設定!$D$17)&gt;0),SUM(M$42:M63)/目標設定!$D$17,NA())</f>
        <v/>
      </c>
      <c r="N99" s="32">
        <f>IF(AND($B63&lt;&gt;"",$A63&lt;=$F$3,N(目標設定!$D$18)&gt;0),SUM(N$42:N63)/目標設定!$D$18,NA())</f>
        <v/>
      </c>
      <c r="O99" s="32">
        <f>IF($B99="",NA(),$A99/$D$3)</f>
        <v/>
      </c>
    </row>
    <row r="100">
      <c r="A100" s="13" t="n">
        <v>23</v>
      </c>
      <c r="B100" s="31">
        <f>B64</f>
        <v/>
      </c>
      <c r="C100" s="32">
        <f>IF(AND($B64&lt;&gt;"",$A64&lt;=$F$3,N(目標設定!$D$7)&gt;0),SUM(C$42:C64)/目標設定!$D$7,NA())</f>
        <v/>
      </c>
      <c r="D100" s="32">
        <f>IF(AND($B64&lt;&gt;"",$A64&lt;=$F$3,N(目標設定!$D$8)&gt;0),SUM(D$42:D64)/目標設定!$D$8,NA())</f>
        <v/>
      </c>
      <c r="E100" s="32">
        <f>IF(AND($B64&lt;&gt;"",$A64&lt;=$F$3,N(目標設定!$D$9)&gt;0),SUM(E$42:E64)/目標設定!$D$9,NA())</f>
        <v/>
      </c>
      <c r="F100" s="32">
        <f>IF(AND($B64&lt;&gt;"",$A64&lt;=$F$3,N(目標設定!$D$10)&gt;0),SUM(F$42:F64)/目標設定!$D$10,NA())</f>
        <v/>
      </c>
      <c r="G100" s="32">
        <f>IF(AND($B64&lt;&gt;"",$A64&lt;=$F$3,N(目標設定!$D$11)&gt;0),SUM(G$42:G64)/目標設定!$D$11,NA())</f>
        <v/>
      </c>
      <c r="H100" s="32">
        <f>IF(AND($B64&lt;&gt;"",$A64&lt;=$F$3,N(目標設定!$D$12)&gt;0),SUM(H$42:H64)/目標設定!$D$12,NA())</f>
        <v/>
      </c>
      <c r="I100" s="32">
        <f>IF(AND($B64&lt;&gt;"",$A64&lt;=$F$3,N(目標設定!$D$13)&gt;0),SUM(I$42:I64)/目標設定!$D$13,NA())</f>
        <v/>
      </c>
      <c r="J100" s="32">
        <f>IF(AND($B64&lt;&gt;"",$A64&lt;=$F$3,N(目標設定!$D$14)&gt;0),SUM(J$42:J64)/目標設定!$D$14,NA())</f>
        <v/>
      </c>
      <c r="K100" s="32">
        <f>IF(AND($B64&lt;&gt;"",$A64&lt;=$F$3,N(目標設定!$D$15)&gt;0),SUM(K$42:K64)/目標設定!$D$15,NA())</f>
        <v/>
      </c>
      <c r="L100" s="32">
        <f>IF(AND($B64&lt;&gt;"",$A64&lt;=$F$3,N(目標設定!$D$16)&gt;0),SUM(L$42:L64)/目標設定!$D$16,NA())</f>
        <v/>
      </c>
      <c r="M100" s="32">
        <f>IF(AND($B64&lt;&gt;"",$A64&lt;=$F$3,N(目標設定!$D$17)&gt;0),SUM(M$42:M64)/目標設定!$D$17,NA())</f>
        <v/>
      </c>
      <c r="N100" s="32">
        <f>IF(AND($B64&lt;&gt;"",$A64&lt;=$F$3,N(目標設定!$D$18)&gt;0),SUM(N$42:N64)/目標設定!$D$18,NA())</f>
        <v/>
      </c>
      <c r="O100" s="32">
        <f>IF($B100="",NA(),$A100/$D$3)</f>
        <v/>
      </c>
    </row>
    <row r="101">
      <c r="A101" s="13" t="n">
        <v>24</v>
      </c>
      <c r="B101" s="31">
        <f>B65</f>
        <v/>
      </c>
      <c r="C101" s="32">
        <f>IF(AND($B65&lt;&gt;"",$A65&lt;=$F$3,N(目標設定!$D$7)&gt;0),SUM(C$42:C65)/目標設定!$D$7,NA())</f>
        <v/>
      </c>
      <c r="D101" s="32">
        <f>IF(AND($B65&lt;&gt;"",$A65&lt;=$F$3,N(目標設定!$D$8)&gt;0),SUM(D$42:D65)/目標設定!$D$8,NA())</f>
        <v/>
      </c>
      <c r="E101" s="32">
        <f>IF(AND($B65&lt;&gt;"",$A65&lt;=$F$3,N(目標設定!$D$9)&gt;0),SUM(E$42:E65)/目標設定!$D$9,NA())</f>
        <v/>
      </c>
      <c r="F101" s="32">
        <f>IF(AND($B65&lt;&gt;"",$A65&lt;=$F$3,N(目標設定!$D$10)&gt;0),SUM(F$42:F65)/目標設定!$D$10,NA())</f>
        <v/>
      </c>
      <c r="G101" s="32">
        <f>IF(AND($B65&lt;&gt;"",$A65&lt;=$F$3,N(目標設定!$D$11)&gt;0),SUM(G$42:G65)/目標設定!$D$11,NA())</f>
        <v/>
      </c>
      <c r="H101" s="32">
        <f>IF(AND($B65&lt;&gt;"",$A65&lt;=$F$3,N(目標設定!$D$12)&gt;0),SUM(H$42:H65)/目標設定!$D$12,NA())</f>
        <v/>
      </c>
      <c r="I101" s="32">
        <f>IF(AND($B65&lt;&gt;"",$A65&lt;=$F$3,N(目標設定!$D$13)&gt;0),SUM(I$42:I65)/目標設定!$D$13,NA())</f>
        <v/>
      </c>
      <c r="J101" s="32">
        <f>IF(AND($B65&lt;&gt;"",$A65&lt;=$F$3,N(目標設定!$D$14)&gt;0),SUM(J$42:J65)/目標設定!$D$14,NA())</f>
        <v/>
      </c>
      <c r="K101" s="32">
        <f>IF(AND($B65&lt;&gt;"",$A65&lt;=$F$3,N(目標設定!$D$15)&gt;0),SUM(K$42:K65)/目標設定!$D$15,NA())</f>
        <v/>
      </c>
      <c r="L101" s="32">
        <f>IF(AND($B65&lt;&gt;"",$A65&lt;=$F$3,N(目標設定!$D$16)&gt;0),SUM(L$42:L65)/目標設定!$D$16,NA())</f>
        <v/>
      </c>
      <c r="M101" s="32">
        <f>IF(AND($B65&lt;&gt;"",$A65&lt;=$F$3,N(目標設定!$D$17)&gt;0),SUM(M$42:M65)/目標設定!$D$17,NA())</f>
        <v/>
      </c>
      <c r="N101" s="32">
        <f>IF(AND($B65&lt;&gt;"",$A65&lt;=$F$3,N(目標設定!$D$18)&gt;0),SUM(N$42:N65)/目標設定!$D$18,NA())</f>
        <v/>
      </c>
      <c r="O101" s="32">
        <f>IF($B101="",NA(),$A101/$D$3)</f>
        <v/>
      </c>
    </row>
    <row r="102">
      <c r="A102" s="13" t="n">
        <v>25</v>
      </c>
      <c r="B102" s="31">
        <f>B66</f>
        <v/>
      </c>
      <c r="C102" s="32">
        <f>IF(AND($B66&lt;&gt;"",$A66&lt;=$F$3,N(目標設定!$D$7)&gt;0),SUM(C$42:C66)/目標設定!$D$7,NA())</f>
        <v/>
      </c>
      <c r="D102" s="32">
        <f>IF(AND($B66&lt;&gt;"",$A66&lt;=$F$3,N(目標設定!$D$8)&gt;0),SUM(D$42:D66)/目標設定!$D$8,NA())</f>
        <v/>
      </c>
      <c r="E102" s="32">
        <f>IF(AND($B66&lt;&gt;"",$A66&lt;=$F$3,N(目標設定!$D$9)&gt;0),SUM(E$42:E66)/目標設定!$D$9,NA())</f>
        <v/>
      </c>
      <c r="F102" s="32">
        <f>IF(AND($B66&lt;&gt;"",$A66&lt;=$F$3,N(目標設定!$D$10)&gt;0),SUM(F$42:F66)/目標設定!$D$10,NA())</f>
        <v/>
      </c>
      <c r="G102" s="32">
        <f>IF(AND($B66&lt;&gt;"",$A66&lt;=$F$3,N(目標設定!$D$11)&gt;0),SUM(G$42:G66)/目標設定!$D$11,NA())</f>
        <v/>
      </c>
      <c r="H102" s="32">
        <f>IF(AND($B66&lt;&gt;"",$A66&lt;=$F$3,N(目標設定!$D$12)&gt;0),SUM(H$42:H66)/目標設定!$D$12,NA())</f>
        <v/>
      </c>
      <c r="I102" s="32">
        <f>IF(AND($B66&lt;&gt;"",$A66&lt;=$F$3,N(目標設定!$D$13)&gt;0),SUM(I$42:I66)/目標設定!$D$13,NA())</f>
        <v/>
      </c>
      <c r="J102" s="32">
        <f>IF(AND($B66&lt;&gt;"",$A66&lt;=$F$3,N(目標設定!$D$14)&gt;0),SUM(J$42:J66)/目標設定!$D$14,NA())</f>
        <v/>
      </c>
      <c r="K102" s="32">
        <f>IF(AND($B66&lt;&gt;"",$A66&lt;=$F$3,N(目標設定!$D$15)&gt;0),SUM(K$42:K66)/目標設定!$D$15,NA())</f>
        <v/>
      </c>
      <c r="L102" s="32">
        <f>IF(AND($B66&lt;&gt;"",$A66&lt;=$F$3,N(目標設定!$D$16)&gt;0),SUM(L$42:L66)/目標設定!$D$16,NA())</f>
        <v/>
      </c>
      <c r="M102" s="32">
        <f>IF(AND($B66&lt;&gt;"",$A66&lt;=$F$3,N(目標設定!$D$17)&gt;0),SUM(M$42:M66)/目標設定!$D$17,NA())</f>
        <v/>
      </c>
      <c r="N102" s="32">
        <f>IF(AND($B66&lt;&gt;"",$A66&lt;=$F$3,N(目標設定!$D$18)&gt;0),SUM(N$42:N66)/目標設定!$D$18,NA())</f>
        <v/>
      </c>
      <c r="O102" s="32">
        <f>IF($B102="",NA(),$A102/$D$3)</f>
        <v/>
      </c>
    </row>
    <row r="103">
      <c r="A103" s="13" t="n">
        <v>26</v>
      </c>
      <c r="B103" s="31">
        <f>B67</f>
        <v/>
      </c>
      <c r="C103" s="32">
        <f>IF(AND($B67&lt;&gt;"",$A67&lt;=$F$3,N(目標設定!$D$7)&gt;0),SUM(C$42:C67)/目標設定!$D$7,NA())</f>
        <v/>
      </c>
      <c r="D103" s="32">
        <f>IF(AND($B67&lt;&gt;"",$A67&lt;=$F$3,N(目標設定!$D$8)&gt;0),SUM(D$42:D67)/目標設定!$D$8,NA())</f>
        <v/>
      </c>
      <c r="E103" s="32">
        <f>IF(AND($B67&lt;&gt;"",$A67&lt;=$F$3,N(目標設定!$D$9)&gt;0),SUM(E$42:E67)/目標設定!$D$9,NA())</f>
        <v/>
      </c>
      <c r="F103" s="32">
        <f>IF(AND($B67&lt;&gt;"",$A67&lt;=$F$3,N(目標設定!$D$10)&gt;0),SUM(F$42:F67)/目標設定!$D$10,NA())</f>
        <v/>
      </c>
      <c r="G103" s="32">
        <f>IF(AND($B67&lt;&gt;"",$A67&lt;=$F$3,N(目標設定!$D$11)&gt;0),SUM(G$42:G67)/目標設定!$D$11,NA())</f>
        <v/>
      </c>
      <c r="H103" s="32">
        <f>IF(AND($B67&lt;&gt;"",$A67&lt;=$F$3,N(目標設定!$D$12)&gt;0),SUM(H$42:H67)/目標設定!$D$12,NA())</f>
        <v/>
      </c>
      <c r="I103" s="32">
        <f>IF(AND($B67&lt;&gt;"",$A67&lt;=$F$3,N(目標設定!$D$13)&gt;0),SUM(I$42:I67)/目標設定!$D$13,NA())</f>
        <v/>
      </c>
      <c r="J103" s="32">
        <f>IF(AND($B67&lt;&gt;"",$A67&lt;=$F$3,N(目標設定!$D$14)&gt;0),SUM(J$42:J67)/目標設定!$D$14,NA())</f>
        <v/>
      </c>
      <c r="K103" s="32">
        <f>IF(AND($B67&lt;&gt;"",$A67&lt;=$F$3,N(目標設定!$D$15)&gt;0),SUM(K$42:K67)/目標設定!$D$15,NA())</f>
        <v/>
      </c>
      <c r="L103" s="32">
        <f>IF(AND($B67&lt;&gt;"",$A67&lt;=$F$3,N(目標設定!$D$16)&gt;0),SUM(L$42:L67)/目標設定!$D$16,NA())</f>
        <v/>
      </c>
      <c r="M103" s="32">
        <f>IF(AND($B67&lt;&gt;"",$A67&lt;=$F$3,N(目標設定!$D$17)&gt;0),SUM(M$42:M67)/目標設定!$D$17,NA())</f>
        <v/>
      </c>
      <c r="N103" s="32">
        <f>IF(AND($B67&lt;&gt;"",$A67&lt;=$F$3,N(目標設定!$D$18)&gt;0),SUM(N$42:N67)/目標設定!$D$18,NA())</f>
        <v/>
      </c>
      <c r="O103" s="32">
        <f>IF($B103="",NA(),$A103/$D$3)</f>
        <v/>
      </c>
    </row>
    <row r="104">
      <c r="A104" s="13" t="n">
        <v>27</v>
      </c>
      <c r="B104" s="31">
        <f>B68</f>
        <v/>
      </c>
      <c r="C104" s="32">
        <f>IF(AND($B68&lt;&gt;"",$A68&lt;=$F$3,N(目標設定!$D$7)&gt;0),SUM(C$42:C68)/目標設定!$D$7,NA())</f>
        <v/>
      </c>
      <c r="D104" s="32">
        <f>IF(AND($B68&lt;&gt;"",$A68&lt;=$F$3,N(目標設定!$D$8)&gt;0),SUM(D$42:D68)/目標設定!$D$8,NA())</f>
        <v/>
      </c>
      <c r="E104" s="32">
        <f>IF(AND($B68&lt;&gt;"",$A68&lt;=$F$3,N(目標設定!$D$9)&gt;0),SUM(E$42:E68)/目標設定!$D$9,NA())</f>
        <v/>
      </c>
      <c r="F104" s="32">
        <f>IF(AND($B68&lt;&gt;"",$A68&lt;=$F$3,N(目標設定!$D$10)&gt;0),SUM(F$42:F68)/目標設定!$D$10,NA())</f>
        <v/>
      </c>
      <c r="G104" s="32">
        <f>IF(AND($B68&lt;&gt;"",$A68&lt;=$F$3,N(目標設定!$D$11)&gt;0),SUM(G$42:G68)/目標設定!$D$11,NA())</f>
        <v/>
      </c>
      <c r="H104" s="32">
        <f>IF(AND($B68&lt;&gt;"",$A68&lt;=$F$3,N(目標設定!$D$12)&gt;0),SUM(H$42:H68)/目標設定!$D$12,NA())</f>
        <v/>
      </c>
      <c r="I104" s="32">
        <f>IF(AND($B68&lt;&gt;"",$A68&lt;=$F$3,N(目標設定!$D$13)&gt;0),SUM(I$42:I68)/目標設定!$D$13,NA())</f>
        <v/>
      </c>
      <c r="J104" s="32">
        <f>IF(AND($B68&lt;&gt;"",$A68&lt;=$F$3,N(目標設定!$D$14)&gt;0),SUM(J$42:J68)/目標設定!$D$14,NA())</f>
        <v/>
      </c>
      <c r="K104" s="32">
        <f>IF(AND($B68&lt;&gt;"",$A68&lt;=$F$3,N(目標設定!$D$15)&gt;0),SUM(K$42:K68)/目標設定!$D$15,NA())</f>
        <v/>
      </c>
      <c r="L104" s="32">
        <f>IF(AND($B68&lt;&gt;"",$A68&lt;=$F$3,N(目標設定!$D$16)&gt;0),SUM(L$42:L68)/目標設定!$D$16,NA())</f>
        <v/>
      </c>
      <c r="M104" s="32">
        <f>IF(AND($B68&lt;&gt;"",$A68&lt;=$F$3,N(目標設定!$D$17)&gt;0),SUM(M$42:M68)/目標設定!$D$17,NA())</f>
        <v/>
      </c>
      <c r="N104" s="32">
        <f>IF(AND($B68&lt;&gt;"",$A68&lt;=$F$3,N(目標設定!$D$18)&gt;0),SUM(N$42:N68)/目標設定!$D$18,NA())</f>
        <v/>
      </c>
      <c r="O104" s="32">
        <f>IF($B104="",NA(),$A104/$D$3)</f>
        <v/>
      </c>
    </row>
    <row r="105">
      <c r="A105" s="13" t="n">
        <v>28</v>
      </c>
      <c r="B105" s="31">
        <f>B69</f>
        <v/>
      </c>
      <c r="C105" s="32">
        <f>IF(AND($B69&lt;&gt;"",$A69&lt;=$F$3,N(目標設定!$D$7)&gt;0),SUM(C$42:C69)/目標設定!$D$7,NA())</f>
        <v/>
      </c>
      <c r="D105" s="32">
        <f>IF(AND($B69&lt;&gt;"",$A69&lt;=$F$3,N(目標設定!$D$8)&gt;0),SUM(D$42:D69)/目標設定!$D$8,NA())</f>
        <v/>
      </c>
      <c r="E105" s="32">
        <f>IF(AND($B69&lt;&gt;"",$A69&lt;=$F$3,N(目標設定!$D$9)&gt;0),SUM(E$42:E69)/目標設定!$D$9,NA())</f>
        <v/>
      </c>
      <c r="F105" s="32">
        <f>IF(AND($B69&lt;&gt;"",$A69&lt;=$F$3,N(目標設定!$D$10)&gt;0),SUM(F$42:F69)/目標設定!$D$10,NA())</f>
        <v/>
      </c>
      <c r="G105" s="32">
        <f>IF(AND($B69&lt;&gt;"",$A69&lt;=$F$3,N(目標設定!$D$11)&gt;0),SUM(G$42:G69)/目標設定!$D$11,NA())</f>
        <v/>
      </c>
      <c r="H105" s="32">
        <f>IF(AND($B69&lt;&gt;"",$A69&lt;=$F$3,N(目標設定!$D$12)&gt;0),SUM(H$42:H69)/目標設定!$D$12,NA())</f>
        <v/>
      </c>
      <c r="I105" s="32">
        <f>IF(AND($B69&lt;&gt;"",$A69&lt;=$F$3,N(目標設定!$D$13)&gt;0),SUM(I$42:I69)/目標設定!$D$13,NA())</f>
        <v/>
      </c>
      <c r="J105" s="32">
        <f>IF(AND($B69&lt;&gt;"",$A69&lt;=$F$3,N(目標設定!$D$14)&gt;0),SUM(J$42:J69)/目標設定!$D$14,NA())</f>
        <v/>
      </c>
      <c r="K105" s="32">
        <f>IF(AND($B69&lt;&gt;"",$A69&lt;=$F$3,N(目標設定!$D$15)&gt;0),SUM(K$42:K69)/目標設定!$D$15,NA())</f>
        <v/>
      </c>
      <c r="L105" s="32">
        <f>IF(AND($B69&lt;&gt;"",$A69&lt;=$F$3,N(目標設定!$D$16)&gt;0),SUM(L$42:L69)/目標設定!$D$16,NA())</f>
        <v/>
      </c>
      <c r="M105" s="32">
        <f>IF(AND($B69&lt;&gt;"",$A69&lt;=$F$3,N(目標設定!$D$17)&gt;0),SUM(M$42:M69)/目標設定!$D$17,NA())</f>
        <v/>
      </c>
      <c r="N105" s="32">
        <f>IF(AND($B69&lt;&gt;"",$A69&lt;=$F$3,N(目標設定!$D$18)&gt;0),SUM(N$42:N69)/目標設定!$D$18,NA())</f>
        <v/>
      </c>
      <c r="O105" s="32">
        <f>IF($B105="",NA(),$A105/$D$3)</f>
        <v/>
      </c>
    </row>
    <row r="106">
      <c r="A106" s="13" t="n">
        <v>29</v>
      </c>
      <c r="B106" s="31">
        <f>B70</f>
        <v/>
      </c>
      <c r="C106" s="32">
        <f>IF(AND($B70&lt;&gt;"",$A70&lt;=$F$3,N(目標設定!$D$7)&gt;0),SUM(C$42:C70)/目標設定!$D$7,NA())</f>
        <v/>
      </c>
      <c r="D106" s="32">
        <f>IF(AND($B70&lt;&gt;"",$A70&lt;=$F$3,N(目標設定!$D$8)&gt;0),SUM(D$42:D70)/目標設定!$D$8,NA())</f>
        <v/>
      </c>
      <c r="E106" s="32">
        <f>IF(AND($B70&lt;&gt;"",$A70&lt;=$F$3,N(目標設定!$D$9)&gt;0),SUM(E$42:E70)/目標設定!$D$9,NA())</f>
        <v/>
      </c>
      <c r="F106" s="32">
        <f>IF(AND($B70&lt;&gt;"",$A70&lt;=$F$3,N(目標設定!$D$10)&gt;0),SUM(F$42:F70)/目標設定!$D$10,NA())</f>
        <v/>
      </c>
      <c r="G106" s="32">
        <f>IF(AND($B70&lt;&gt;"",$A70&lt;=$F$3,N(目標設定!$D$11)&gt;0),SUM(G$42:G70)/目標設定!$D$11,NA())</f>
        <v/>
      </c>
      <c r="H106" s="32">
        <f>IF(AND($B70&lt;&gt;"",$A70&lt;=$F$3,N(目標設定!$D$12)&gt;0),SUM(H$42:H70)/目標設定!$D$12,NA())</f>
        <v/>
      </c>
      <c r="I106" s="32">
        <f>IF(AND($B70&lt;&gt;"",$A70&lt;=$F$3,N(目標設定!$D$13)&gt;0),SUM(I$42:I70)/目標設定!$D$13,NA())</f>
        <v/>
      </c>
      <c r="J106" s="32">
        <f>IF(AND($B70&lt;&gt;"",$A70&lt;=$F$3,N(目標設定!$D$14)&gt;0),SUM(J$42:J70)/目標設定!$D$14,NA())</f>
        <v/>
      </c>
      <c r="K106" s="32">
        <f>IF(AND($B70&lt;&gt;"",$A70&lt;=$F$3,N(目標設定!$D$15)&gt;0),SUM(K$42:K70)/目標設定!$D$15,NA())</f>
        <v/>
      </c>
      <c r="L106" s="32">
        <f>IF(AND($B70&lt;&gt;"",$A70&lt;=$F$3,N(目標設定!$D$16)&gt;0),SUM(L$42:L70)/目標設定!$D$16,NA())</f>
        <v/>
      </c>
      <c r="M106" s="32">
        <f>IF(AND($B70&lt;&gt;"",$A70&lt;=$F$3,N(目標設定!$D$17)&gt;0),SUM(M$42:M70)/目標設定!$D$17,NA())</f>
        <v/>
      </c>
      <c r="N106" s="32">
        <f>IF(AND($B70&lt;&gt;"",$A70&lt;=$F$3,N(目標設定!$D$18)&gt;0),SUM(N$42:N70)/目標設定!$D$18,NA())</f>
        <v/>
      </c>
      <c r="O106" s="32">
        <f>IF($B106="",NA(),$A106/$D$3)</f>
        <v/>
      </c>
    </row>
    <row r="107">
      <c r="A107" s="13" t="n">
        <v>30</v>
      </c>
      <c r="B107" s="31">
        <f>B71</f>
        <v/>
      </c>
      <c r="C107" s="32">
        <f>IF(AND($B71&lt;&gt;"",$A71&lt;=$F$3,N(目標設定!$D$7)&gt;0),SUM(C$42:C71)/目標設定!$D$7,NA())</f>
        <v/>
      </c>
      <c r="D107" s="32">
        <f>IF(AND($B71&lt;&gt;"",$A71&lt;=$F$3,N(目標設定!$D$8)&gt;0),SUM(D$42:D71)/目標設定!$D$8,NA())</f>
        <v/>
      </c>
      <c r="E107" s="32">
        <f>IF(AND($B71&lt;&gt;"",$A71&lt;=$F$3,N(目標設定!$D$9)&gt;0),SUM(E$42:E71)/目標設定!$D$9,NA())</f>
        <v/>
      </c>
      <c r="F107" s="32">
        <f>IF(AND($B71&lt;&gt;"",$A71&lt;=$F$3,N(目標設定!$D$10)&gt;0),SUM(F$42:F71)/目標設定!$D$10,NA())</f>
        <v/>
      </c>
      <c r="G107" s="32">
        <f>IF(AND($B71&lt;&gt;"",$A71&lt;=$F$3,N(目標設定!$D$11)&gt;0),SUM(G$42:G71)/目標設定!$D$11,NA())</f>
        <v/>
      </c>
      <c r="H107" s="32">
        <f>IF(AND($B71&lt;&gt;"",$A71&lt;=$F$3,N(目標設定!$D$12)&gt;0),SUM(H$42:H71)/目標設定!$D$12,NA())</f>
        <v/>
      </c>
      <c r="I107" s="32">
        <f>IF(AND($B71&lt;&gt;"",$A71&lt;=$F$3,N(目標設定!$D$13)&gt;0),SUM(I$42:I71)/目標設定!$D$13,NA())</f>
        <v/>
      </c>
      <c r="J107" s="32">
        <f>IF(AND($B71&lt;&gt;"",$A71&lt;=$F$3,N(目標設定!$D$14)&gt;0),SUM(J$42:J71)/目標設定!$D$14,NA())</f>
        <v/>
      </c>
      <c r="K107" s="32">
        <f>IF(AND($B71&lt;&gt;"",$A71&lt;=$F$3,N(目標設定!$D$15)&gt;0),SUM(K$42:K71)/目標設定!$D$15,NA())</f>
        <v/>
      </c>
      <c r="L107" s="32">
        <f>IF(AND($B71&lt;&gt;"",$A71&lt;=$F$3,N(目標設定!$D$16)&gt;0),SUM(L$42:L71)/目標設定!$D$16,NA())</f>
        <v/>
      </c>
      <c r="M107" s="32">
        <f>IF(AND($B71&lt;&gt;"",$A71&lt;=$F$3,N(目標設定!$D$17)&gt;0),SUM(M$42:M71)/目標設定!$D$17,NA())</f>
        <v/>
      </c>
      <c r="N107" s="32">
        <f>IF(AND($B71&lt;&gt;"",$A71&lt;=$F$3,N(目標設定!$D$18)&gt;0),SUM(N$42:N71)/目標設定!$D$18,NA())</f>
        <v/>
      </c>
      <c r="O107" s="32">
        <f>IF($B107="",NA(),$A107/$D$3)</f>
        <v/>
      </c>
    </row>
    <row r="108">
      <c r="A108" s="13" t="n">
        <v>31</v>
      </c>
      <c r="B108" s="31">
        <f>B72</f>
        <v/>
      </c>
      <c r="C108" s="32">
        <f>IF(AND($B72&lt;&gt;"",$A72&lt;=$F$3,N(目標設定!$D$7)&gt;0),SUM(C$42:C72)/目標設定!$D$7,NA())</f>
        <v/>
      </c>
      <c r="D108" s="32">
        <f>IF(AND($B72&lt;&gt;"",$A72&lt;=$F$3,N(目標設定!$D$8)&gt;0),SUM(D$42:D72)/目標設定!$D$8,NA())</f>
        <v/>
      </c>
      <c r="E108" s="32">
        <f>IF(AND($B72&lt;&gt;"",$A72&lt;=$F$3,N(目標設定!$D$9)&gt;0),SUM(E$42:E72)/目標設定!$D$9,NA())</f>
        <v/>
      </c>
      <c r="F108" s="32">
        <f>IF(AND($B72&lt;&gt;"",$A72&lt;=$F$3,N(目標設定!$D$10)&gt;0),SUM(F$42:F72)/目標設定!$D$10,NA())</f>
        <v/>
      </c>
      <c r="G108" s="32">
        <f>IF(AND($B72&lt;&gt;"",$A72&lt;=$F$3,N(目標設定!$D$11)&gt;0),SUM(G$42:G72)/目標設定!$D$11,NA())</f>
        <v/>
      </c>
      <c r="H108" s="32">
        <f>IF(AND($B72&lt;&gt;"",$A72&lt;=$F$3,N(目標設定!$D$12)&gt;0),SUM(H$42:H72)/目標設定!$D$12,NA())</f>
        <v/>
      </c>
      <c r="I108" s="32">
        <f>IF(AND($B72&lt;&gt;"",$A72&lt;=$F$3,N(目標設定!$D$13)&gt;0),SUM(I$42:I72)/目標設定!$D$13,NA())</f>
        <v/>
      </c>
      <c r="J108" s="32">
        <f>IF(AND($B72&lt;&gt;"",$A72&lt;=$F$3,N(目標設定!$D$14)&gt;0),SUM(J$42:J72)/目標設定!$D$14,NA())</f>
        <v/>
      </c>
      <c r="K108" s="32">
        <f>IF(AND($B72&lt;&gt;"",$A72&lt;=$F$3,N(目標設定!$D$15)&gt;0),SUM(K$42:K72)/目標設定!$D$15,NA())</f>
        <v/>
      </c>
      <c r="L108" s="32">
        <f>IF(AND($B72&lt;&gt;"",$A72&lt;=$F$3,N(目標設定!$D$16)&gt;0),SUM(L$42:L72)/目標設定!$D$16,NA())</f>
        <v/>
      </c>
      <c r="M108" s="32">
        <f>IF(AND($B72&lt;&gt;"",$A72&lt;=$F$3,N(目標設定!$D$17)&gt;0),SUM(M$42:M72)/目標設定!$D$17,NA())</f>
        <v/>
      </c>
      <c r="N108" s="32">
        <f>IF(AND($B72&lt;&gt;"",$A72&lt;=$F$3,N(目標設定!$D$18)&gt;0),SUM(N$42:N72)/目標設定!$D$18,NA())</f>
        <v/>
      </c>
      <c r="O108" s="32">
        <f>IF($B108="",NA(),$A108/$D$3)</f>
        <v/>
      </c>
    </row>
    <row r="109">
      <c r="A109" s="22" t="inlineStr">
        <is>
          <t>※ 赤字=理想ペースを下回っている日 / 緑=100%達成 / 目標が未設定の項目は表示されません。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73:B73"/>
  </mergeCells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A42:O72">
    <cfRule type="expression" priority="6" dxfId="5">
      <formula>$B42=""</formula>
    </cfRule>
  </conditionalFormatting>
  <conditionalFormatting sqref="A42:B72">
    <cfRule type="expression" priority="7" dxfId="6">
      <formula>$A42=$F$3</formula>
    </cfRule>
    <cfRule type="expression" priority="8" dxfId="4">
      <formula>AND($B42&lt;&gt;"",WEEKDAY($B42)=1)</formula>
    </cfRule>
    <cfRule type="expression" priority="9" dxfId="7">
      <formula>AND($B42&lt;&gt;"",WEEKDAY($B42)=7)</formula>
    </cfRule>
  </conditionalFormatting>
  <conditionalFormatting sqref="A78:O108">
    <cfRule type="expression" priority="10" dxfId="8">
      <formula>ISNA(A78)</formula>
    </cfRule>
  </conditionalFormatting>
  <conditionalFormatting sqref="C78:N108">
    <cfRule type="expression" priority="11" dxfId="0">
      <formula>AND(ISNUMBER(C78),C78&gt;=1)</formula>
    </cfRule>
    <cfRule type="expression" priority="12" dxfId="4">
      <formula>AND(ISNUMBER(C78),C78&lt;$O78)</formula>
    </cfRule>
  </conditionalFormatting>
  <conditionalFormatting sqref="A78:B108">
    <cfRule type="expression" priority="13" dxfId="8">
      <formula>$B78=""</formula>
    </cfRule>
  </conditionalFormatting>
  <dataValidations count="1">
    <dataValidation sqref="C42:N72" showDropDown="0" showInputMessage="0" showErrorMessage="0" allowBlank="1" errorTitle="入力エラー" error="0以上の整数を入力してください。" type="whole" operator="greaterThanOrEqual">
      <formula1>0</formula1>
    </dataValidation>
  </dataValidations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5" t="inlineStr">
        <is>
          <t>対象月(1日の日付)</t>
        </is>
      </c>
      <c r="C3" s="33" t="n">
        <v>46296</v>
      </c>
      <c r="D3" s="22" t="inlineStr">
        <is>
          <t>※ 月が変わったら、この日付を新しい月の1日に変更してください。</t>
        </is>
      </c>
    </row>
    <row r="4">
      <c r="B4" s="5" t="inlineStr">
        <is>
          <t>月の日数</t>
        </is>
      </c>
      <c r="C4" s="13">
        <f>DAY(EOMONTH(C3,0))</f>
        <v/>
      </c>
    </row>
    <row r="6" ht="30" customHeight="1">
      <c r="B6" s="9" t="inlineStr">
        <is>
          <t>No.</t>
        </is>
      </c>
      <c r="C6" s="9" t="inlineStr">
        <is>
          <t>項目</t>
        </is>
      </c>
      <c r="D6" s="9" t="inlineStr">
        <is>
          <t>月間目標</t>
        </is>
      </c>
      <c r="E6" s="9" t="inlineStr">
        <is>
          <t>備考</t>
        </is>
      </c>
      <c r="F6" s="9" t="inlineStr">
        <is>
          <t>ラダー判定用の率
(手入力)</t>
        </is>
      </c>
    </row>
    <row r="7">
      <c r="B7" s="13" t="n">
        <v>1</v>
      </c>
      <c r="C7" s="5" t="inlineStr">
        <is>
          <t>新規</t>
        </is>
      </c>
      <c r="D7" s="34" t="n">
        <v>88</v>
      </c>
      <c r="E7" s="13" t="inlineStr">
        <is>
          <t>SBYM対外新規</t>
        </is>
      </c>
      <c r="F7" s="35" t="n"/>
    </row>
    <row r="8">
      <c r="B8" s="13" t="n">
        <v>2</v>
      </c>
      <c r="C8" s="5" t="inlineStr">
        <is>
          <t>MNP</t>
        </is>
      </c>
      <c r="D8" s="34" t="n">
        <v>66</v>
      </c>
      <c r="E8" s="13" t="inlineStr"/>
      <c r="F8" s="35" t="n"/>
    </row>
    <row r="9">
      <c r="B9" s="13" t="n">
        <v>3</v>
      </c>
      <c r="C9" s="5" t="inlineStr">
        <is>
          <t>固定</t>
        </is>
      </c>
      <c r="D9" s="34" t="n">
        <v>51</v>
      </c>
      <c r="E9" s="13" t="inlineStr"/>
      <c r="F9" s="35" t="n"/>
    </row>
    <row r="10">
      <c r="B10" s="13" t="n">
        <v>4</v>
      </c>
      <c r="C10" s="5" t="inlineStr">
        <is>
          <t>タブレット</t>
        </is>
      </c>
      <c r="D10" s="34" t="n">
        <v>7</v>
      </c>
      <c r="E10" s="13" t="inlineStr"/>
      <c r="F10" s="35" t="n"/>
    </row>
    <row r="11">
      <c r="B11" s="13" t="n">
        <v>5</v>
      </c>
      <c r="C11" s="5" t="inlineStr">
        <is>
          <t>電気</t>
        </is>
      </c>
      <c r="D11" s="34" t="n">
        <v>12</v>
      </c>
      <c r="E11" s="13" t="inlineStr">
        <is>
          <t>でんき</t>
        </is>
      </c>
      <c r="F11" s="35" t="n"/>
    </row>
    <row r="12">
      <c r="B12" s="13" t="n">
        <v>6</v>
      </c>
      <c r="C12" s="5" t="inlineStr">
        <is>
          <t>PPCD申込</t>
        </is>
      </c>
      <c r="D12" s="29" t="inlineStr">
        <is>
          <t>-</t>
        </is>
      </c>
      <c r="E12" s="13" t="inlineStr">
        <is>
          <t>申込率を右の列に手入力</t>
        </is>
      </c>
      <c r="F12" s="36" t="n"/>
    </row>
    <row r="13">
      <c r="B13" s="13" t="n">
        <v>7</v>
      </c>
      <c r="C13" s="5" t="inlineStr">
        <is>
          <t>SB Gold申込</t>
        </is>
      </c>
      <c r="D13" s="29" t="inlineStr">
        <is>
          <t>-</t>
        </is>
      </c>
      <c r="E13" s="13" t="inlineStr">
        <is>
          <t>申込率を右の列に手入力</t>
        </is>
      </c>
      <c r="F13" s="36" t="n"/>
    </row>
    <row r="14">
      <c r="B14" s="13" t="n">
        <v>8</v>
      </c>
      <c r="C14" s="5" t="inlineStr">
        <is>
          <t>戦略機種(Pt)</t>
        </is>
      </c>
      <c r="D14" s="34" t="n">
        <v>849</v>
      </c>
      <c r="E14" s="13" t="inlineStr">
        <is>
          <t>目標はPt / 機種販売入力から自動加算</t>
        </is>
      </c>
      <c r="F14" s="35" t="n"/>
    </row>
    <row r="15">
      <c r="B15" s="13" t="n">
        <v>9</v>
      </c>
      <c r="C15" s="5" t="inlineStr">
        <is>
          <t>Watch</t>
        </is>
      </c>
      <c r="D15" s="34" t="n">
        <v>5</v>
      </c>
      <c r="E15" s="13" t="inlineStr">
        <is>
          <t>ウォッチ</t>
        </is>
      </c>
      <c r="F15" s="35" t="n"/>
    </row>
    <row r="16">
      <c r="B16" s="13" t="n">
        <v>10</v>
      </c>
      <c r="C16" s="5" t="inlineStr">
        <is>
          <t>機変</t>
        </is>
      </c>
      <c r="D16" s="34" t="n">
        <v>150</v>
      </c>
      <c r="E16" s="13" t="inlineStr"/>
      <c r="F16" s="35" t="n"/>
    </row>
    <row r="17">
      <c r="B17" s="13" t="n">
        <v>11</v>
      </c>
      <c r="C17" s="5" t="inlineStr">
        <is>
          <t>DMM</t>
        </is>
      </c>
      <c r="D17" s="34" t="n">
        <v>26</v>
      </c>
      <c r="E17" s="13" t="inlineStr"/>
      <c r="F17" s="35" t="n"/>
    </row>
    <row r="18">
      <c r="B18" s="13" t="n">
        <v>12</v>
      </c>
      <c r="C18" s="5" t="inlineStr">
        <is>
          <t>YouTube</t>
        </is>
      </c>
      <c r="D18" s="34" t="n">
        <v>46</v>
      </c>
      <c r="E18" s="13" t="inlineStr"/>
      <c r="F18" s="35" t="n"/>
    </row>
    <row r="20">
      <c r="B20" s="22" t="inlineStr">
        <is>
          <t>※ 黄色のセル(青字)が入力欄です。目標が空欄の項目は、達成率が「-」と表示されます。</t>
        </is>
      </c>
    </row>
    <row r="21">
      <c r="B21" s="22" t="inlineStr">
        <is>
          <t>※ PPCD申込・SB Goldは分母の計算が複雑なため、申込率(例 25%)を右端の列に手入力すると、その率でラダーの配点を判定します。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2" customWidth="1" min="30" max="30"/>
  </cols>
  <sheetData>
    <row r="1">
      <c r="A1" s="1" t="inlineStr">
        <is>
          <t>ラダー(達成率 → 配点)</t>
        </is>
      </c>
    </row>
    <row r="2">
      <c r="A2" s="22" t="inlineStr">
        <is>
          <t>「測定項目ラダー」の表です。達成率が「その段以上」になった最も高い段の配点が付きます。ラダーが変わったら黄色いセルを書き換えてください(段の追加は空き行へ)。</t>
        </is>
      </c>
    </row>
    <row r="3" ht="42" customHeight="1">
      <c r="A3" s="9" t="inlineStr">
        <is>
          <t>新規
(SYスマホ対外新規達成率)</t>
        </is>
      </c>
      <c r="B3" s="9" t="n"/>
      <c r="D3" s="9" t="inlineStr">
        <is>
          <t>MNP
(SYスマホMNP達成率)</t>
        </is>
      </c>
      <c r="E3" s="9" t="n"/>
      <c r="G3" s="9" t="inlineStr">
        <is>
          <t>機変
(機変スマホ達成率)</t>
        </is>
      </c>
      <c r="H3" s="9" t="n"/>
      <c r="J3" s="9" t="inlineStr">
        <is>
          <t>固定
(固定達成率)</t>
        </is>
      </c>
      <c r="K3" s="9" t="n"/>
      <c r="M3" s="9" t="inlineStr">
        <is>
          <t>タブレット
(タブレット達成率)</t>
        </is>
      </c>
      <c r="N3" s="9" t="n"/>
      <c r="P3" s="9" t="inlineStr">
        <is>
          <t>電気
(でんき達成率)</t>
        </is>
      </c>
      <c r="Q3" s="9" t="n"/>
      <c r="S3" s="9" t="inlineStr">
        <is>
          <t>PPCD申込
(PPCD申込)</t>
        </is>
      </c>
      <c r="T3" s="9" t="n"/>
      <c r="V3" s="9" t="inlineStr">
        <is>
          <t>SB Gold申込
(SBGold申込)</t>
        </is>
      </c>
      <c r="W3" s="9" t="n"/>
      <c r="Y3" s="9" t="inlineStr">
        <is>
          <t>戦略機種(Pt)
(戦略機種)</t>
        </is>
      </c>
      <c r="Z3" s="9" t="n"/>
      <c r="AB3" s="9" t="inlineStr">
        <is>
          <t>Watch
(Watch)</t>
        </is>
      </c>
      <c r="AC3" s="9" t="n"/>
    </row>
    <row r="4">
      <c r="A4" s="9" t="inlineStr">
        <is>
          <t>達成率</t>
        </is>
      </c>
      <c r="B4" s="9" t="inlineStr">
        <is>
          <t>配点</t>
        </is>
      </c>
      <c r="D4" s="9" t="inlineStr">
        <is>
          <t>達成率</t>
        </is>
      </c>
      <c r="E4" s="9" t="inlineStr">
        <is>
          <t>配点</t>
        </is>
      </c>
      <c r="G4" s="9" t="inlineStr">
        <is>
          <t>達成率</t>
        </is>
      </c>
      <c r="H4" s="9" t="inlineStr">
        <is>
          <t>配点</t>
        </is>
      </c>
      <c r="J4" s="9" t="inlineStr">
        <is>
          <t>達成率</t>
        </is>
      </c>
      <c r="K4" s="9" t="inlineStr">
        <is>
          <t>配点</t>
        </is>
      </c>
      <c r="M4" s="9" t="inlineStr">
        <is>
          <t>達成率</t>
        </is>
      </c>
      <c r="N4" s="9" t="inlineStr">
        <is>
          <t>配点</t>
        </is>
      </c>
      <c r="P4" s="9" t="inlineStr">
        <is>
          <t>達成率</t>
        </is>
      </c>
      <c r="Q4" s="9" t="inlineStr">
        <is>
          <t>配点</t>
        </is>
      </c>
      <c r="S4" s="9" t="inlineStr">
        <is>
          <t>達成率</t>
        </is>
      </c>
      <c r="T4" s="9" t="inlineStr">
        <is>
          <t>配点</t>
        </is>
      </c>
      <c r="V4" s="9" t="inlineStr">
        <is>
          <t>達成率</t>
        </is>
      </c>
      <c r="W4" s="9" t="inlineStr">
        <is>
          <t>配点</t>
        </is>
      </c>
      <c r="Y4" s="9" t="inlineStr">
        <is>
          <t>達成率</t>
        </is>
      </c>
      <c r="Z4" s="9" t="inlineStr">
        <is>
          <t>配点</t>
        </is>
      </c>
      <c r="AB4" s="9" t="inlineStr">
        <is>
          <t>達成率</t>
        </is>
      </c>
      <c r="AC4" s="9" t="inlineStr">
        <is>
          <t>配点</t>
        </is>
      </c>
    </row>
    <row r="5">
      <c r="A5" s="37" t="n">
        <v>0</v>
      </c>
      <c r="B5" s="38" t="n">
        <v>0</v>
      </c>
      <c r="D5" s="37" t="n">
        <v>0</v>
      </c>
      <c r="E5" s="38" t="n">
        <v>0</v>
      </c>
      <c r="G5" s="37" t="n">
        <v>0</v>
      </c>
      <c r="H5" s="38" t="n">
        <v>0</v>
      </c>
      <c r="J5" s="37" t="n">
        <v>0</v>
      </c>
      <c r="K5" s="38" t="n">
        <v>0</v>
      </c>
      <c r="M5" s="37" t="n">
        <v>0</v>
      </c>
      <c r="N5" s="38" t="n">
        <v>0</v>
      </c>
      <c r="P5" s="37" t="n">
        <v>0</v>
      </c>
      <c r="Q5" s="38" t="n">
        <v>0</v>
      </c>
      <c r="S5" s="37" t="n">
        <v>0</v>
      </c>
      <c r="T5" s="38" t="n">
        <v>0</v>
      </c>
      <c r="V5" s="37" t="n">
        <v>0</v>
      </c>
      <c r="W5" s="38" t="n">
        <v>0</v>
      </c>
      <c r="Y5" s="37" t="n">
        <v>0</v>
      </c>
      <c r="Z5" s="38" t="n">
        <v>0</v>
      </c>
      <c r="AB5" s="37" t="n">
        <v>0</v>
      </c>
      <c r="AC5" s="38" t="n">
        <v>0</v>
      </c>
    </row>
    <row r="6">
      <c r="A6" s="37" t="n">
        <v>0.4</v>
      </c>
      <c r="B6" s="38" t="n">
        <v>5</v>
      </c>
      <c r="D6" s="37" t="n">
        <v>0.4</v>
      </c>
      <c r="E6" s="38" t="n">
        <v>30</v>
      </c>
      <c r="G6" s="37" t="n">
        <v>0.74</v>
      </c>
      <c r="H6" s="38" t="n">
        <v>5</v>
      </c>
      <c r="J6" s="37" t="n">
        <v>0.7</v>
      </c>
      <c r="K6" s="38" t="n">
        <v>5</v>
      </c>
      <c r="M6" s="37" t="n">
        <v>0.3</v>
      </c>
      <c r="N6" s="38" t="n">
        <v>2</v>
      </c>
      <c r="P6" s="37" t="n">
        <v>0.3</v>
      </c>
      <c r="Q6" s="38" t="n">
        <v>2</v>
      </c>
      <c r="S6" s="37" t="n">
        <v>0.1</v>
      </c>
      <c r="T6" s="38" t="n">
        <v>1</v>
      </c>
      <c r="V6" s="37" t="n">
        <v>0.05</v>
      </c>
      <c r="W6" s="38" t="n">
        <v>1</v>
      </c>
      <c r="Y6" s="37" t="n">
        <v>0.6</v>
      </c>
      <c r="Z6" s="38" t="n">
        <v>1</v>
      </c>
      <c r="AB6" s="37" t="n">
        <v>0.6</v>
      </c>
      <c r="AC6" s="38" t="n">
        <v>1</v>
      </c>
    </row>
    <row r="7">
      <c r="A7" s="37" t="n">
        <v>0.55</v>
      </c>
      <c r="B7" s="38" t="n">
        <v>10</v>
      </c>
      <c r="D7" s="37" t="n">
        <v>0.45</v>
      </c>
      <c r="E7" s="38" t="n">
        <v>35</v>
      </c>
      <c r="G7" s="37" t="n">
        <v>0.76</v>
      </c>
      <c r="H7" s="38" t="n">
        <v>10</v>
      </c>
      <c r="J7" s="37" t="n">
        <v>0.75</v>
      </c>
      <c r="K7" s="38" t="n">
        <v>10</v>
      </c>
      <c r="M7" s="37" t="n">
        <v>0.45</v>
      </c>
      <c r="N7" s="38" t="n">
        <v>4</v>
      </c>
      <c r="P7" s="37" t="n">
        <v>0.45</v>
      </c>
      <c r="Q7" s="38" t="n">
        <v>4</v>
      </c>
      <c r="S7" s="37" t="n">
        <v>0.15</v>
      </c>
      <c r="T7" s="38" t="n">
        <v>2</v>
      </c>
      <c r="V7" s="37" t="n">
        <v>0.1</v>
      </c>
      <c r="W7" s="38" t="n">
        <v>2</v>
      </c>
      <c r="Y7" s="37" t="n">
        <v>0.68</v>
      </c>
      <c r="Z7" s="38" t="n">
        <v>2</v>
      </c>
      <c r="AB7" s="37" t="n">
        <v>0.8</v>
      </c>
      <c r="AC7" s="38" t="n">
        <v>2</v>
      </c>
    </row>
    <row r="8">
      <c r="A8" s="37" t="n">
        <v>0.7</v>
      </c>
      <c r="B8" s="38" t="n">
        <v>15</v>
      </c>
      <c r="D8" s="37" t="n">
        <v>0.5</v>
      </c>
      <c r="E8" s="38" t="n">
        <v>40</v>
      </c>
      <c r="G8" s="37" t="n">
        <v>0.78</v>
      </c>
      <c r="H8" s="38" t="n">
        <v>15</v>
      </c>
      <c r="J8" s="37" t="n">
        <v>0.8</v>
      </c>
      <c r="K8" s="38" t="n">
        <v>15</v>
      </c>
      <c r="M8" s="37" t="n">
        <v>0.6</v>
      </c>
      <c r="N8" s="38" t="n">
        <v>6</v>
      </c>
      <c r="P8" s="37" t="n">
        <v>0.6</v>
      </c>
      <c r="Q8" s="38" t="n">
        <v>6</v>
      </c>
      <c r="S8" s="37" t="n">
        <v>0.2</v>
      </c>
      <c r="T8" s="38" t="n">
        <v>3</v>
      </c>
      <c r="V8" s="37" t="n"/>
      <c r="W8" s="38" t="n"/>
      <c r="Y8" s="37" t="n">
        <v>0.76</v>
      </c>
      <c r="Z8" s="38" t="n">
        <v>3</v>
      </c>
      <c r="AB8" s="37" t="n">
        <v>1</v>
      </c>
      <c r="AC8" s="38" t="n">
        <v>3</v>
      </c>
    </row>
    <row r="9">
      <c r="A9" s="37" t="n">
        <v>0.85</v>
      </c>
      <c r="B9" s="38" t="n">
        <v>20</v>
      </c>
      <c r="D9" s="37" t="n">
        <v>0.55</v>
      </c>
      <c r="E9" s="38" t="n">
        <v>45</v>
      </c>
      <c r="G9" s="37" t="n">
        <v>0.8</v>
      </c>
      <c r="H9" s="38" t="n">
        <v>20</v>
      </c>
      <c r="J9" s="37" t="n">
        <v>0.85</v>
      </c>
      <c r="K9" s="38" t="n">
        <v>20</v>
      </c>
      <c r="M9" s="37" t="n">
        <v>0.75</v>
      </c>
      <c r="N9" s="38" t="n">
        <v>8</v>
      </c>
      <c r="P9" s="37" t="n">
        <v>0.75</v>
      </c>
      <c r="Q9" s="38" t="n">
        <v>8</v>
      </c>
      <c r="S9" s="37" t="n">
        <v>0.25</v>
      </c>
      <c r="T9" s="38" t="n">
        <v>4</v>
      </c>
      <c r="V9" s="37" t="n"/>
      <c r="W9" s="38" t="n"/>
      <c r="Y9" s="37" t="n">
        <v>0.84</v>
      </c>
      <c r="Z9" s="38" t="n">
        <v>4</v>
      </c>
      <c r="AB9" s="37" t="n">
        <v>1.2</v>
      </c>
      <c r="AC9" s="38" t="n">
        <v>4</v>
      </c>
    </row>
    <row r="10">
      <c r="A10" s="37" t="n">
        <v>1</v>
      </c>
      <c r="B10" s="38" t="n">
        <v>25</v>
      </c>
      <c r="D10" s="37" t="n">
        <v>0.6</v>
      </c>
      <c r="E10" s="38" t="n">
        <v>50</v>
      </c>
      <c r="G10" s="37" t="n">
        <v>0.82</v>
      </c>
      <c r="H10" s="38" t="n">
        <v>25</v>
      </c>
      <c r="J10" s="37" t="n">
        <v>0.9</v>
      </c>
      <c r="K10" s="38" t="n">
        <v>25</v>
      </c>
      <c r="M10" s="37" t="n">
        <v>0.9</v>
      </c>
      <c r="N10" s="38" t="n">
        <v>10</v>
      </c>
      <c r="P10" s="37" t="n">
        <v>0.9</v>
      </c>
      <c r="Q10" s="38" t="n">
        <v>10</v>
      </c>
      <c r="S10" s="37" t="n">
        <v>0.3</v>
      </c>
      <c r="T10" s="38" t="n">
        <v>5</v>
      </c>
      <c r="V10" s="37" t="n"/>
      <c r="W10" s="38" t="n"/>
      <c r="Y10" s="37" t="n">
        <v>0.92</v>
      </c>
      <c r="Z10" s="38" t="n">
        <v>5</v>
      </c>
      <c r="AB10" s="37" t="n"/>
      <c r="AC10" s="38" t="n"/>
    </row>
    <row r="11">
      <c r="A11" s="37" t="n">
        <v>1.15</v>
      </c>
      <c r="B11" s="38" t="n">
        <v>30</v>
      </c>
      <c r="D11" s="37" t="n">
        <v>0.65</v>
      </c>
      <c r="E11" s="38" t="n">
        <v>55</v>
      </c>
      <c r="G11" s="37" t="n">
        <v>0.84</v>
      </c>
      <c r="H11" s="38" t="n">
        <v>30</v>
      </c>
      <c r="J11" s="37" t="n">
        <v>0.95</v>
      </c>
      <c r="K11" s="38" t="n">
        <v>30</v>
      </c>
      <c r="M11" s="37" t="n">
        <v>1.05</v>
      </c>
      <c r="N11" s="38" t="n">
        <v>12</v>
      </c>
      <c r="P11" s="37" t="n">
        <v>1.05</v>
      </c>
      <c r="Q11" s="38" t="n">
        <v>12</v>
      </c>
      <c r="S11" s="37" t="n">
        <v>0.35</v>
      </c>
      <c r="T11" s="38" t="n">
        <v>6</v>
      </c>
      <c r="V11" s="37" t="n"/>
      <c r="W11" s="38" t="n"/>
      <c r="Y11" s="37" t="n">
        <v>1</v>
      </c>
      <c r="Z11" s="38" t="n">
        <v>6</v>
      </c>
      <c r="AB11" s="37" t="n"/>
      <c r="AC11" s="38" t="n"/>
    </row>
    <row r="12">
      <c r="A12" s="37" t="n">
        <v>1.3</v>
      </c>
      <c r="B12" s="38" t="n">
        <v>35</v>
      </c>
      <c r="D12" s="37" t="n">
        <v>0.7</v>
      </c>
      <c r="E12" s="38" t="n">
        <v>60</v>
      </c>
      <c r="G12" s="37" t="n">
        <v>0.86</v>
      </c>
      <c r="H12" s="38" t="n">
        <v>35</v>
      </c>
      <c r="J12" s="37" t="n">
        <v>1</v>
      </c>
      <c r="K12" s="38" t="n">
        <v>35</v>
      </c>
      <c r="M12" s="37" t="n">
        <v>1.2</v>
      </c>
      <c r="N12" s="38" t="n">
        <v>14</v>
      </c>
      <c r="P12" s="37" t="n">
        <v>1.2</v>
      </c>
      <c r="Q12" s="38" t="n">
        <v>14</v>
      </c>
      <c r="S12" s="37" t="n"/>
      <c r="T12" s="38" t="n"/>
      <c r="V12" s="37" t="n"/>
      <c r="W12" s="38" t="n"/>
      <c r="Y12" s="37" t="n">
        <v>1.08</v>
      </c>
      <c r="Z12" s="38" t="n">
        <v>7</v>
      </c>
      <c r="AB12" s="37" t="n"/>
      <c r="AC12" s="38" t="n"/>
    </row>
    <row r="13">
      <c r="A13" s="37" t="n">
        <v>1.45</v>
      </c>
      <c r="B13" s="38" t="n">
        <v>40</v>
      </c>
      <c r="D13" s="37" t="n">
        <v>0.75</v>
      </c>
      <c r="E13" s="38" t="n">
        <v>65</v>
      </c>
      <c r="G13" s="37" t="n">
        <v>0.88</v>
      </c>
      <c r="H13" s="38" t="n">
        <v>40</v>
      </c>
      <c r="J13" s="37" t="n">
        <v>1.05</v>
      </c>
      <c r="K13" s="38" t="n">
        <v>40</v>
      </c>
      <c r="M13" s="37" t="n">
        <v>1.35</v>
      </c>
      <c r="N13" s="38" t="n">
        <v>16</v>
      </c>
      <c r="P13" s="37" t="n">
        <v>1.35</v>
      </c>
      <c r="Q13" s="38" t="n">
        <v>16</v>
      </c>
      <c r="S13" s="37" t="n"/>
      <c r="T13" s="38" t="n"/>
      <c r="V13" s="37" t="n"/>
      <c r="W13" s="38" t="n"/>
      <c r="Y13" s="37" t="n">
        <v>1.16</v>
      </c>
      <c r="Z13" s="38" t="n">
        <v>8</v>
      </c>
      <c r="AB13" s="37" t="n"/>
      <c r="AC13" s="38" t="n"/>
    </row>
    <row r="14">
      <c r="A14" s="37" t="n"/>
      <c r="B14" s="38" t="n"/>
      <c r="D14" s="37" t="n">
        <v>0.8</v>
      </c>
      <c r="E14" s="38" t="n">
        <v>70</v>
      </c>
      <c r="G14" s="37" t="n">
        <v>0.9</v>
      </c>
      <c r="H14" s="38" t="n">
        <v>45</v>
      </c>
      <c r="J14" s="37" t="n">
        <v>1.1</v>
      </c>
      <c r="K14" s="38" t="n">
        <v>45</v>
      </c>
      <c r="M14" s="37" t="n">
        <v>1.5</v>
      </c>
      <c r="N14" s="38" t="n">
        <v>18</v>
      </c>
      <c r="P14" s="37" t="n">
        <v>1.5</v>
      </c>
      <c r="Q14" s="38" t="n">
        <v>18</v>
      </c>
      <c r="S14" s="37" t="n"/>
      <c r="T14" s="38" t="n"/>
      <c r="V14" s="37" t="n"/>
      <c r="W14" s="38" t="n"/>
      <c r="Y14" s="37" t="n"/>
      <c r="Z14" s="38" t="n"/>
      <c r="AB14" s="37" t="n"/>
      <c r="AC14" s="38" t="n"/>
    </row>
    <row r="15">
      <c r="A15" s="37" t="n"/>
      <c r="B15" s="38" t="n"/>
      <c r="D15" s="37" t="n">
        <v>0.85</v>
      </c>
      <c r="E15" s="38" t="n">
        <v>75</v>
      </c>
      <c r="G15" s="37" t="n">
        <v>0.92</v>
      </c>
      <c r="H15" s="38" t="n">
        <v>50</v>
      </c>
      <c r="J15" s="37" t="n">
        <v>1.15</v>
      </c>
      <c r="K15" s="38" t="n">
        <v>50</v>
      </c>
      <c r="M15" s="37" t="n">
        <v>1.65</v>
      </c>
      <c r="N15" s="38" t="n">
        <v>20</v>
      </c>
      <c r="P15" s="37" t="n">
        <v>1.65</v>
      </c>
      <c r="Q15" s="38" t="n">
        <v>20</v>
      </c>
      <c r="S15" s="37" t="n"/>
      <c r="T15" s="38" t="n"/>
      <c r="V15" s="37" t="n"/>
      <c r="W15" s="38" t="n"/>
      <c r="Y15" s="37" t="n"/>
      <c r="Z15" s="38" t="n"/>
      <c r="AB15" s="37" t="n"/>
      <c r="AC15" s="38" t="n"/>
    </row>
    <row r="16">
      <c r="A16" s="37" t="n"/>
      <c r="B16" s="38" t="n"/>
      <c r="D16" s="37" t="n">
        <v>0.9</v>
      </c>
      <c r="E16" s="38" t="n">
        <v>80</v>
      </c>
      <c r="G16" s="37" t="n">
        <v>0.9399999999999999</v>
      </c>
      <c r="H16" s="38" t="n">
        <v>55</v>
      </c>
      <c r="J16" s="37" t="n">
        <v>1.2</v>
      </c>
      <c r="K16" s="38" t="n">
        <v>55</v>
      </c>
      <c r="M16" s="37" t="n"/>
      <c r="N16" s="38" t="n"/>
      <c r="P16" s="37" t="n"/>
      <c r="Q16" s="38" t="n"/>
      <c r="S16" s="37" t="n"/>
      <c r="T16" s="38" t="n"/>
      <c r="V16" s="37" t="n"/>
      <c r="W16" s="38" t="n"/>
      <c r="Y16" s="37" t="n"/>
      <c r="Z16" s="38" t="n"/>
      <c r="AB16" s="37" t="n"/>
      <c r="AC16" s="38" t="n"/>
    </row>
    <row r="17">
      <c r="A17" s="37" t="n"/>
      <c r="B17" s="38" t="n"/>
      <c r="D17" s="37" t="n">
        <v>0.95</v>
      </c>
      <c r="E17" s="38" t="n">
        <v>85</v>
      </c>
      <c r="G17" s="37" t="n">
        <v>0.96</v>
      </c>
      <c r="H17" s="38" t="n">
        <v>60</v>
      </c>
      <c r="J17" s="37" t="n">
        <v>1.25</v>
      </c>
      <c r="K17" s="38" t="n">
        <v>60</v>
      </c>
      <c r="M17" s="37" t="n"/>
      <c r="N17" s="38" t="n"/>
      <c r="P17" s="37" t="n"/>
      <c r="Q17" s="38" t="n"/>
      <c r="S17" s="37" t="n"/>
      <c r="T17" s="38" t="n"/>
      <c r="V17" s="37" t="n"/>
      <c r="W17" s="38" t="n"/>
      <c r="Y17" s="37" t="n"/>
      <c r="Z17" s="38" t="n"/>
      <c r="AB17" s="37" t="n"/>
      <c r="AC17" s="38" t="n"/>
    </row>
    <row r="18">
      <c r="A18" s="37" t="n"/>
      <c r="B18" s="38" t="n"/>
      <c r="D18" s="37" t="n">
        <v>1</v>
      </c>
      <c r="E18" s="38" t="n">
        <v>90</v>
      </c>
      <c r="G18" s="37" t="n">
        <v>0.98</v>
      </c>
      <c r="H18" s="38" t="n">
        <v>65</v>
      </c>
      <c r="J18" s="37" t="n">
        <v>1.3</v>
      </c>
      <c r="K18" s="38" t="n">
        <v>65</v>
      </c>
      <c r="M18" s="37" t="n"/>
      <c r="N18" s="38" t="n"/>
      <c r="P18" s="37" t="n"/>
      <c r="Q18" s="38" t="n"/>
      <c r="S18" s="37" t="n"/>
      <c r="T18" s="38" t="n"/>
      <c r="V18" s="37" t="n"/>
      <c r="W18" s="38" t="n"/>
      <c r="Y18" s="37" t="n"/>
      <c r="Z18" s="38" t="n"/>
      <c r="AB18" s="37" t="n"/>
      <c r="AC18" s="38" t="n"/>
    </row>
    <row r="19">
      <c r="A19" s="37" t="n"/>
      <c r="B19" s="38" t="n"/>
      <c r="D19" s="37" t="n">
        <v>1.05</v>
      </c>
      <c r="E19" s="38" t="n">
        <v>95</v>
      </c>
      <c r="G19" s="37" t="n">
        <v>1</v>
      </c>
      <c r="H19" s="38" t="n">
        <v>70</v>
      </c>
      <c r="J19" s="37" t="n">
        <v>1.35</v>
      </c>
      <c r="K19" s="38" t="n">
        <v>70</v>
      </c>
      <c r="M19" s="37" t="n"/>
      <c r="N19" s="38" t="n"/>
      <c r="P19" s="37" t="n"/>
      <c r="Q19" s="38" t="n"/>
      <c r="S19" s="37" t="n"/>
      <c r="T19" s="38" t="n"/>
      <c r="V19" s="37" t="n"/>
      <c r="W19" s="38" t="n"/>
      <c r="Y19" s="37" t="n"/>
      <c r="Z19" s="38" t="n"/>
      <c r="AB19" s="37" t="n"/>
      <c r="AC19" s="38" t="n"/>
    </row>
    <row r="20">
      <c r="A20" s="37" t="n"/>
      <c r="B20" s="38" t="n"/>
      <c r="D20" s="37" t="n">
        <v>1.1</v>
      </c>
      <c r="E20" s="38" t="n">
        <v>100</v>
      </c>
      <c r="G20" s="37" t="n">
        <v>1.02</v>
      </c>
      <c r="H20" s="38" t="n">
        <v>75</v>
      </c>
      <c r="J20" s="37" t="n">
        <v>1.4</v>
      </c>
      <c r="K20" s="38" t="n">
        <v>75</v>
      </c>
      <c r="M20" s="37" t="n"/>
      <c r="N20" s="38" t="n"/>
      <c r="P20" s="37" t="n"/>
      <c r="Q20" s="38" t="n"/>
      <c r="S20" s="37" t="n"/>
      <c r="T20" s="38" t="n"/>
      <c r="V20" s="37" t="n"/>
      <c r="W20" s="38" t="n"/>
      <c r="Y20" s="37" t="n"/>
      <c r="Z20" s="38" t="n"/>
      <c r="AB20" s="37" t="n"/>
      <c r="AC20" s="38" t="n"/>
    </row>
    <row r="21">
      <c r="A21" s="37" t="n"/>
      <c r="B21" s="38" t="n"/>
      <c r="D21" s="37" t="n">
        <v>1.15</v>
      </c>
      <c r="E21" s="38" t="n">
        <v>105</v>
      </c>
      <c r="G21" s="37" t="n">
        <v>1.04</v>
      </c>
      <c r="H21" s="38" t="n">
        <v>80</v>
      </c>
      <c r="J21" s="37" t="n">
        <v>1.45</v>
      </c>
      <c r="K21" s="38" t="n">
        <v>80</v>
      </c>
      <c r="M21" s="37" t="n"/>
      <c r="N21" s="38" t="n"/>
      <c r="P21" s="37" t="n"/>
      <c r="Q21" s="38" t="n"/>
      <c r="S21" s="37" t="n"/>
      <c r="T21" s="38" t="n"/>
      <c r="V21" s="37" t="n"/>
      <c r="W21" s="38" t="n"/>
      <c r="Y21" s="37" t="n"/>
      <c r="Z21" s="38" t="n"/>
      <c r="AB21" s="37" t="n"/>
      <c r="AC21" s="38" t="n"/>
    </row>
    <row r="22">
      <c r="A22" s="37" t="n"/>
      <c r="B22" s="38" t="n"/>
      <c r="D22" s="37" t="n">
        <v>1.2</v>
      </c>
      <c r="E22" s="38" t="n">
        <v>110</v>
      </c>
      <c r="G22" s="37" t="n">
        <v>1.06</v>
      </c>
      <c r="H22" s="38" t="n">
        <v>85</v>
      </c>
      <c r="J22" s="37" t="n"/>
      <c r="K22" s="38" t="n"/>
      <c r="M22" s="37" t="n"/>
      <c r="N22" s="38" t="n"/>
      <c r="P22" s="37" t="n"/>
      <c r="Q22" s="38" t="n"/>
      <c r="S22" s="37" t="n"/>
      <c r="T22" s="38" t="n"/>
      <c r="V22" s="37" t="n"/>
      <c r="W22" s="38" t="n"/>
      <c r="Y22" s="37" t="n"/>
      <c r="Z22" s="38" t="n"/>
      <c r="AB22" s="37" t="n"/>
      <c r="AC22" s="38" t="n"/>
    </row>
    <row r="23">
      <c r="A23" s="37" t="n"/>
      <c r="B23" s="38" t="n"/>
      <c r="D23" s="37" t="n">
        <v>1.25</v>
      </c>
      <c r="E23" s="38" t="n">
        <v>115</v>
      </c>
      <c r="G23" s="37" t="n">
        <v>1.08</v>
      </c>
      <c r="H23" s="38" t="n">
        <v>90</v>
      </c>
      <c r="J23" s="37" t="n"/>
      <c r="K23" s="38" t="n"/>
      <c r="M23" s="37" t="n"/>
      <c r="N23" s="38" t="n"/>
      <c r="P23" s="37" t="n"/>
      <c r="Q23" s="38" t="n"/>
      <c r="S23" s="37" t="n"/>
      <c r="T23" s="38" t="n"/>
      <c r="V23" s="37" t="n"/>
      <c r="W23" s="38" t="n"/>
      <c r="Y23" s="37" t="n"/>
      <c r="Z23" s="38" t="n"/>
      <c r="AB23" s="37" t="n"/>
      <c r="AC23" s="38" t="n"/>
    </row>
    <row r="24">
      <c r="A24" s="37" t="n"/>
      <c r="B24" s="38" t="n"/>
      <c r="D24" s="37" t="n">
        <v>1.3</v>
      </c>
      <c r="E24" s="38" t="n">
        <v>120</v>
      </c>
      <c r="G24" s="37" t="n">
        <v>1.1</v>
      </c>
      <c r="H24" s="38" t="n">
        <v>95</v>
      </c>
      <c r="J24" s="37" t="n"/>
      <c r="K24" s="38" t="n"/>
      <c r="M24" s="37" t="n"/>
      <c r="N24" s="38" t="n"/>
      <c r="P24" s="37" t="n"/>
      <c r="Q24" s="38" t="n"/>
      <c r="S24" s="37" t="n"/>
      <c r="T24" s="38" t="n"/>
      <c r="V24" s="37" t="n"/>
      <c r="W24" s="38" t="n"/>
      <c r="Y24" s="37" t="n"/>
      <c r="Z24" s="38" t="n"/>
      <c r="AB24" s="37" t="n"/>
      <c r="AC24" s="38" t="n"/>
    </row>
    <row r="25">
      <c r="A25" s="37" t="n"/>
      <c r="B25" s="38" t="n"/>
      <c r="D25" s="37" t="n">
        <v>1.35</v>
      </c>
      <c r="E25" s="38" t="n">
        <v>125</v>
      </c>
      <c r="G25" s="37" t="n">
        <v>1.12</v>
      </c>
      <c r="H25" s="38" t="n">
        <v>100</v>
      </c>
      <c r="J25" s="37" t="n"/>
      <c r="K25" s="38" t="n"/>
      <c r="M25" s="37" t="n"/>
      <c r="N25" s="38" t="n"/>
      <c r="P25" s="37" t="n"/>
      <c r="Q25" s="38" t="n"/>
      <c r="S25" s="37" t="n"/>
      <c r="T25" s="38" t="n"/>
      <c r="V25" s="37" t="n"/>
      <c r="W25" s="38" t="n"/>
      <c r="Y25" s="37" t="n"/>
      <c r="Z25" s="38" t="n"/>
      <c r="AB25" s="37" t="n"/>
      <c r="AC25" s="38" t="n"/>
    </row>
    <row r="26">
      <c r="A26" s="37" t="n"/>
      <c r="B26" s="38" t="n"/>
      <c r="D26" s="37" t="n">
        <v>1.4</v>
      </c>
      <c r="E26" s="38" t="n">
        <v>130</v>
      </c>
      <c r="G26" s="37" t="n">
        <v>1.14</v>
      </c>
      <c r="H26" s="38" t="n">
        <v>105</v>
      </c>
      <c r="J26" s="37" t="n"/>
      <c r="K26" s="38" t="n"/>
      <c r="M26" s="37" t="n"/>
      <c r="N26" s="38" t="n"/>
      <c r="P26" s="37" t="n"/>
      <c r="Q26" s="38" t="n"/>
      <c r="S26" s="37" t="n"/>
      <c r="T26" s="38" t="n"/>
      <c r="V26" s="37" t="n"/>
      <c r="W26" s="38" t="n"/>
      <c r="Y26" s="37" t="n"/>
      <c r="Z26" s="38" t="n"/>
      <c r="AB26" s="37" t="n"/>
      <c r="AC26" s="38" t="n"/>
    </row>
    <row r="27">
      <c r="A27" s="37" t="n"/>
      <c r="B27" s="38" t="n"/>
      <c r="D27" s="37" t="n"/>
      <c r="E27" s="38" t="n"/>
      <c r="G27" s="37" t="n">
        <v>1.16</v>
      </c>
      <c r="H27" s="38" t="n">
        <v>110</v>
      </c>
      <c r="J27" s="37" t="n"/>
      <c r="K27" s="38" t="n"/>
      <c r="M27" s="37" t="n"/>
      <c r="N27" s="38" t="n"/>
      <c r="P27" s="37" t="n"/>
      <c r="Q27" s="38" t="n"/>
      <c r="S27" s="37" t="n"/>
      <c r="T27" s="38" t="n"/>
      <c r="V27" s="37" t="n"/>
      <c r="W27" s="38" t="n"/>
      <c r="Y27" s="37" t="n"/>
      <c r="Z27" s="38" t="n"/>
      <c r="AB27" s="37" t="n"/>
      <c r="AC27" s="38" t="n"/>
    </row>
    <row r="28">
      <c r="A28" s="37" t="n"/>
      <c r="B28" s="38" t="n"/>
      <c r="D28" s="37" t="n"/>
      <c r="E28" s="38" t="n"/>
      <c r="G28" s="37" t="n"/>
      <c r="H28" s="38" t="n"/>
      <c r="J28" s="37" t="n"/>
      <c r="K28" s="38" t="n"/>
      <c r="M28" s="37" t="n"/>
      <c r="N28" s="38" t="n"/>
      <c r="P28" s="37" t="n"/>
      <c r="Q28" s="38" t="n"/>
      <c r="S28" s="37" t="n"/>
      <c r="T28" s="38" t="n"/>
      <c r="V28" s="37" t="n"/>
      <c r="W28" s="38" t="n"/>
      <c r="Y28" s="37" t="n"/>
      <c r="Z28" s="38" t="n"/>
      <c r="AB28" s="37" t="n"/>
      <c r="AC28" s="38" t="n"/>
    </row>
    <row r="29">
      <c r="A29" s="37" t="n"/>
      <c r="B29" s="38" t="n"/>
      <c r="D29" s="37" t="n"/>
      <c r="E29" s="38" t="n"/>
      <c r="G29" s="37" t="n"/>
      <c r="H29" s="38" t="n"/>
      <c r="J29" s="37" t="n"/>
      <c r="K29" s="38" t="n"/>
      <c r="M29" s="37" t="n"/>
      <c r="N29" s="38" t="n"/>
      <c r="P29" s="37" t="n"/>
      <c r="Q29" s="38" t="n"/>
      <c r="S29" s="37" t="n"/>
      <c r="T29" s="38" t="n"/>
      <c r="V29" s="37" t="n"/>
      <c r="W29" s="38" t="n"/>
      <c r="Y29" s="37" t="n"/>
      <c r="Z29" s="38" t="n"/>
      <c r="AB29" s="37" t="n"/>
      <c r="AC29" s="38" t="n"/>
    </row>
    <row r="30">
      <c r="A30" s="37" t="n"/>
      <c r="B30" s="38" t="n"/>
      <c r="D30" s="37" t="n"/>
      <c r="E30" s="38" t="n"/>
      <c r="G30" s="37" t="n"/>
      <c r="H30" s="38" t="n"/>
      <c r="J30" s="37" t="n"/>
      <c r="K30" s="38" t="n"/>
      <c r="M30" s="37" t="n"/>
      <c r="N30" s="38" t="n"/>
      <c r="P30" s="37" t="n"/>
      <c r="Q30" s="38" t="n"/>
      <c r="S30" s="37" t="n"/>
      <c r="T30" s="38" t="n"/>
      <c r="V30" s="37" t="n"/>
      <c r="W30" s="38" t="n"/>
      <c r="Y30" s="37" t="n"/>
      <c r="Z30" s="38" t="n"/>
      <c r="AB30" s="37" t="n"/>
      <c r="AC30" s="38" t="n"/>
    </row>
    <row r="31">
      <c r="A31" s="37" t="n"/>
      <c r="B31" s="38" t="n"/>
      <c r="D31" s="37" t="n"/>
      <c r="E31" s="38" t="n"/>
      <c r="G31" s="37" t="n"/>
      <c r="H31" s="38" t="n"/>
      <c r="J31" s="37" t="n"/>
      <c r="K31" s="38" t="n"/>
      <c r="M31" s="37" t="n"/>
      <c r="N31" s="38" t="n"/>
      <c r="P31" s="37" t="n"/>
      <c r="Q31" s="38" t="n"/>
      <c r="S31" s="37" t="n"/>
      <c r="T31" s="38" t="n"/>
      <c r="V31" s="37" t="n"/>
      <c r="W31" s="38" t="n"/>
      <c r="Y31" s="37" t="n"/>
      <c r="Z31" s="38" t="n"/>
      <c r="AB31" s="37" t="n"/>
      <c r="AC31" s="38" t="n"/>
    </row>
    <row r="32">
      <c r="A32" s="37" t="n"/>
      <c r="B32" s="38" t="n"/>
      <c r="D32" s="37" t="n"/>
      <c r="E32" s="38" t="n"/>
      <c r="G32" s="37" t="n"/>
      <c r="H32" s="38" t="n"/>
      <c r="J32" s="37" t="n"/>
      <c r="K32" s="38" t="n"/>
      <c r="M32" s="37" t="n"/>
      <c r="N32" s="38" t="n"/>
      <c r="P32" s="37" t="n"/>
      <c r="Q32" s="38" t="n"/>
      <c r="S32" s="37" t="n"/>
      <c r="T32" s="38" t="n"/>
      <c r="V32" s="37" t="n"/>
      <c r="W32" s="38" t="n"/>
      <c r="Y32" s="37" t="n"/>
      <c r="Z32" s="38" t="n"/>
      <c r="AB32" s="37" t="n"/>
      <c r="AC32" s="38" t="n"/>
    </row>
    <row r="33">
      <c r="A33" s="37" t="n"/>
      <c r="B33" s="38" t="n"/>
      <c r="D33" s="37" t="n"/>
      <c r="E33" s="38" t="n"/>
      <c r="G33" s="37" t="n"/>
      <c r="H33" s="38" t="n"/>
      <c r="J33" s="37" t="n"/>
      <c r="K33" s="38" t="n"/>
      <c r="M33" s="37" t="n"/>
      <c r="N33" s="38" t="n"/>
      <c r="P33" s="37" t="n"/>
      <c r="Q33" s="38" t="n"/>
      <c r="S33" s="37" t="n"/>
      <c r="T33" s="38" t="n"/>
      <c r="V33" s="37" t="n"/>
      <c r="W33" s="38" t="n"/>
      <c r="Y33" s="37" t="n"/>
      <c r="Z33" s="38" t="n"/>
      <c r="AB33" s="37" t="n"/>
      <c r="AC33" s="38" t="n"/>
    </row>
    <row r="34">
      <c r="A34" s="37" t="n"/>
      <c r="B34" s="38" t="n"/>
      <c r="D34" s="37" t="n"/>
      <c r="E34" s="38" t="n"/>
      <c r="G34" s="37" t="n"/>
      <c r="H34" s="38" t="n"/>
      <c r="J34" s="37" t="n"/>
      <c r="K34" s="38" t="n"/>
      <c r="M34" s="37" t="n"/>
      <c r="N34" s="38" t="n"/>
      <c r="P34" s="37" t="n"/>
      <c r="Q34" s="38" t="n"/>
      <c r="S34" s="37" t="n"/>
      <c r="T34" s="38" t="n"/>
      <c r="V34" s="37" t="n"/>
      <c r="W34" s="38" t="n"/>
      <c r="Y34" s="37" t="n"/>
      <c r="Z34" s="38" t="n"/>
      <c r="AB34" s="37" t="n"/>
      <c r="AC34" s="38" t="n"/>
    </row>
  </sheetData>
  <mergeCells count="10">
    <mergeCell ref="S3:T3"/>
    <mergeCell ref="J3:K3"/>
    <mergeCell ref="P3:Q3"/>
    <mergeCell ref="Y3:Z3"/>
    <mergeCell ref="M3:N3"/>
    <mergeCell ref="D3:E3"/>
    <mergeCell ref="A3:B3"/>
    <mergeCell ref="G3:H3"/>
    <mergeCell ref="V3:W3"/>
    <mergeCell ref="AB3:A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8" customWidth="1" min="2" max="2"/>
    <col width="11" customWidth="1" min="3" max="3"/>
    <col width="13" customWidth="1" min="4" max="4"/>
    <col width="9" customWidth="1" min="5" max="5"/>
    <col width="12" customWidth="1" min="6" max="6"/>
    <col width="9" customWidth="1" min="7" max="7"/>
    <col width="10" customWidth="1" min="8" max="8"/>
    <col width="2" customWidth="1" min="9" max="9"/>
    <col width="16" customWidth="1" min="10" max="10"/>
    <col width="10" customWidth="1" min="11" max="11"/>
  </cols>
  <sheetData>
    <row r="1">
      <c r="A1" s="1" t="inlineStr">
        <is>
          <t>機種販売入力(対象機種が売れたら1行追加)</t>
        </is>
      </c>
    </row>
    <row r="2">
      <c r="A2" s="22" t="inlineStr">
        <is>
          <t>販売日と機種名(プルダウン)を選ぶだけで、その機種の戦略Ptが自動加算されます。台数は空欄なら1台として計算します。</t>
        </is>
      </c>
    </row>
    <row r="3" ht="30" customHeight="1">
      <c r="A3" s="9" t="inlineStr">
        <is>
          <t>販売日</t>
        </is>
      </c>
      <c r="B3" s="9" t="inlineStr">
        <is>
          <t>機種名</t>
        </is>
      </c>
      <c r="C3" s="9" t="inlineStr">
        <is>
          <t>台数
(空欄=1台)</t>
        </is>
      </c>
      <c r="D3" s="9" t="inlineStr">
        <is>
          <t>カテゴリ</t>
        </is>
      </c>
      <c r="E3" s="9" t="inlineStr">
        <is>
          <t>機種Pt</t>
        </is>
      </c>
      <c r="F3" s="9" t="inlineStr">
        <is>
          <t>戦略Pt
(1台あたり)</t>
        </is>
      </c>
      <c r="G3" s="9" t="inlineStr">
        <is>
          <t>台数(計)</t>
        </is>
      </c>
      <c r="H3" s="9" t="inlineStr">
        <is>
          <t>加算Pt</t>
        </is>
      </c>
      <c r="J3" s="9" t="inlineStr">
        <is>
          <t>戦略Pt 累計</t>
        </is>
      </c>
      <c r="K3" s="39">
        <f>SUM(H4:H503)</f>
        <v/>
      </c>
    </row>
    <row r="4" ht="30" customHeight="1">
      <c r="A4" s="40" t="n"/>
      <c r="B4" s="41" t="n"/>
      <c r="C4" s="42" t="n"/>
      <c r="D4" s="29">
        <f>IF($B4="","",IFERROR(INDEX(機種マスタ!$A$4:$A$203,MATCH($B4,機種マスタ!$B$4:$B$203,0)),"未登録"))</f>
        <v/>
      </c>
      <c r="E4" s="29">
        <f>IF($B4="","",IFERROR(INDEX(機種マスタ!$C$4:$C$203,MATCH($B4,機種マスタ!$B$4:$B$203,0)),"-"))</f>
        <v/>
      </c>
      <c r="F4" s="29">
        <f>IF($B4="","",IFERROR(N(INDEX(機種マスタ!$D$4:$D$203,MATCH($B4,機種マスタ!$B$4:$B$203,0))),0))</f>
        <v/>
      </c>
      <c r="G4" s="29">
        <f>IF($B4="","",IF($C4="",1,$C4))</f>
        <v/>
      </c>
      <c r="H4" s="29">
        <f>IF($B4="","",F4*G4)</f>
        <v/>
      </c>
      <c r="J4" s="9" t="inlineStr">
        <is>
          <t>戦略対象機種
販売台数</t>
        </is>
      </c>
      <c r="K4" s="39">
        <f>SUMIFS(G4:G503,F4:F503,"&gt;0")</f>
        <v/>
      </c>
    </row>
    <row r="5" ht="30" customHeight="1">
      <c r="A5" s="40" t="n"/>
      <c r="B5" s="41" t="n"/>
      <c r="C5" s="42" t="n"/>
      <c r="D5" s="29">
        <f>IF($B5="","",IFERROR(INDEX(機種マスタ!$A$4:$A$203,MATCH($B5,機種マスタ!$B$4:$B$203,0)),"未登録"))</f>
        <v/>
      </c>
      <c r="E5" s="29">
        <f>IF($B5="","",IFERROR(INDEX(機種マスタ!$C$4:$C$203,MATCH($B5,機種マスタ!$B$4:$B$203,0)),"-"))</f>
        <v/>
      </c>
      <c r="F5" s="29">
        <f>IF($B5="","",IFERROR(N(INDEX(機種マスタ!$D$4:$D$203,MATCH($B5,機種マスタ!$B$4:$B$203,0))),0))</f>
        <v/>
      </c>
      <c r="G5" s="29">
        <f>IF($B5="","",IF($C5="",1,$C5))</f>
        <v/>
      </c>
      <c r="H5" s="29">
        <f>IF($B5="","",F5*G5)</f>
        <v/>
      </c>
      <c r="J5" s="9" t="inlineStr">
        <is>
          <t>全販売台数</t>
        </is>
      </c>
      <c r="K5" s="39">
        <f>SUM(G4:G503)</f>
        <v/>
      </c>
    </row>
    <row r="6">
      <c r="A6" s="40" t="n"/>
      <c r="B6" s="41" t="n"/>
      <c r="C6" s="42" t="n"/>
      <c r="D6" s="29">
        <f>IF($B6="","",IFERROR(INDEX(機種マスタ!$A$4:$A$203,MATCH($B6,機種マスタ!$B$4:$B$203,0)),"未登録"))</f>
        <v/>
      </c>
      <c r="E6" s="29">
        <f>IF($B6="","",IFERROR(INDEX(機種マスタ!$C$4:$C$203,MATCH($B6,機種マスタ!$B$4:$B$203,0)),"-"))</f>
        <v/>
      </c>
      <c r="F6" s="29">
        <f>IF($B6="","",IFERROR(N(INDEX(機種マスタ!$D$4:$D$203,MATCH($B6,機種マスタ!$B$4:$B$203,0))),0))</f>
        <v/>
      </c>
      <c r="G6" s="29">
        <f>IF($B6="","",IF($C6="",1,$C6))</f>
        <v/>
      </c>
      <c r="H6" s="29">
        <f>IF($B6="","",F6*G6)</f>
        <v/>
      </c>
    </row>
    <row r="7">
      <c r="A7" s="40" t="n"/>
      <c r="B7" s="41" t="n"/>
      <c r="C7" s="42" t="n"/>
      <c r="D7" s="29">
        <f>IF($B7="","",IFERROR(INDEX(機種マスタ!$A$4:$A$203,MATCH($B7,機種マスタ!$B$4:$B$203,0)),"未登録"))</f>
        <v/>
      </c>
      <c r="E7" s="29">
        <f>IF($B7="","",IFERROR(INDEX(機種マスタ!$C$4:$C$203,MATCH($B7,機種マスタ!$B$4:$B$203,0)),"-"))</f>
        <v/>
      </c>
      <c r="F7" s="29">
        <f>IF($B7="","",IFERROR(N(INDEX(機種マスタ!$D$4:$D$203,MATCH($B7,機種マスタ!$B$4:$B$203,0))),0))</f>
        <v/>
      </c>
      <c r="G7" s="29">
        <f>IF($B7="","",IF($C7="",1,$C7))</f>
        <v/>
      </c>
      <c r="H7" s="29">
        <f>IF($B7="","",F7*G7)</f>
        <v/>
      </c>
    </row>
    <row r="8">
      <c r="A8" s="40" t="n"/>
      <c r="B8" s="41" t="n"/>
      <c r="C8" s="42" t="n"/>
      <c r="D8" s="29">
        <f>IF($B8="","",IFERROR(INDEX(機種マスタ!$A$4:$A$203,MATCH($B8,機種マスタ!$B$4:$B$203,0)),"未登録"))</f>
        <v/>
      </c>
      <c r="E8" s="29">
        <f>IF($B8="","",IFERROR(INDEX(機種マスタ!$C$4:$C$203,MATCH($B8,機種マスタ!$B$4:$B$203,0)),"-"))</f>
        <v/>
      </c>
      <c r="F8" s="29">
        <f>IF($B8="","",IFERROR(N(INDEX(機種マスタ!$D$4:$D$203,MATCH($B8,機種マスタ!$B$4:$B$203,0))),0))</f>
        <v/>
      </c>
      <c r="G8" s="29">
        <f>IF($B8="","",IF($C8="",1,$C8))</f>
        <v/>
      </c>
      <c r="H8" s="29">
        <f>IF($B8="","",F8*G8)</f>
        <v/>
      </c>
    </row>
    <row r="9">
      <c r="A9" s="40" t="n"/>
      <c r="B9" s="41" t="n"/>
      <c r="C9" s="42" t="n"/>
      <c r="D9" s="29">
        <f>IF($B9="","",IFERROR(INDEX(機種マスタ!$A$4:$A$203,MATCH($B9,機種マスタ!$B$4:$B$203,0)),"未登録"))</f>
        <v/>
      </c>
      <c r="E9" s="29">
        <f>IF($B9="","",IFERROR(INDEX(機種マスタ!$C$4:$C$203,MATCH($B9,機種マスタ!$B$4:$B$203,0)),"-"))</f>
        <v/>
      </c>
      <c r="F9" s="29">
        <f>IF($B9="","",IFERROR(N(INDEX(機種マスタ!$D$4:$D$203,MATCH($B9,機種マスタ!$B$4:$B$203,0))),0))</f>
        <v/>
      </c>
      <c r="G9" s="29">
        <f>IF($B9="","",IF($C9="",1,$C9))</f>
        <v/>
      </c>
      <c r="H9" s="29">
        <f>IF($B9="","",F9*G9)</f>
        <v/>
      </c>
    </row>
    <row r="10">
      <c r="A10" s="40" t="n"/>
      <c r="B10" s="41" t="n"/>
      <c r="C10" s="42" t="n"/>
      <c r="D10" s="29">
        <f>IF($B10="","",IFERROR(INDEX(機種マスタ!$A$4:$A$203,MATCH($B10,機種マスタ!$B$4:$B$203,0)),"未登録"))</f>
        <v/>
      </c>
      <c r="E10" s="29">
        <f>IF($B10="","",IFERROR(INDEX(機種マスタ!$C$4:$C$203,MATCH($B10,機種マスタ!$B$4:$B$203,0)),"-"))</f>
        <v/>
      </c>
      <c r="F10" s="29">
        <f>IF($B10="","",IFERROR(N(INDEX(機種マスタ!$D$4:$D$203,MATCH($B10,機種マスタ!$B$4:$B$203,0))),0))</f>
        <v/>
      </c>
      <c r="G10" s="29">
        <f>IF($B10="","",IF($C10="",1,$C10))</f>
        <v/>
      </c>
      <c r="H10" s="29">
        <f>IF($B10="","",F10*G10)</f>
        <v/>
      </c>
    </row>
    <row r="11">
      <c r="A11" s="40" t="n"/>
      <c r="B11" s="41" t="n"/>
      <c r="C11" s="42" t="n"/>
      <c r="D11" s="29">
        <f>IF($B11="","",IFERROR(INDEX(機種マスタ!$A$4:$A$203,MATCH($B11,機種マスタ!$B$4:$B$203,0)),"未登録"))</f>
        <v/>
      </c>
      <c r="E11" s="29">
        <f>IF($B11="","",IFERROR(INDEX(機種マスタ!$C$4:$C$203,MATCH($B11,機種マスタ!$B$4:$B$203,0)),"-"))</f>
        <v/>
      </c>
      <c r="F11" s="29">
        <f>IF($B11="","",IFERROR(N(INDEX(機種マスタ!$D$4:$D$203,MATCH($B11,機種マスタ!$B$4:$B$203,0))),0))</f>
        <v/>
      </c>
      <c r="G11" s="29">
        <f>IF($B11="","",IF($C11="",1,$C11))</f>
        <v/>
      </c>
      <c r="H11" s="29">
        <f>IF($B11="","",F11*G11)</f>
        <v/>
      </c>
    </row>
    <row r="12">
      <c r="A12" s="40" t="n"/>
      <c r="B12" s="41" t="n"/>
      <c r="C12" s="42" t="n"/>
      <c r="D12" s="29">
        <f>IF($B12="","",IFERROR(INDEX(機種マスタ!$A$4:$A$203,MATCH($B12,機種マスタ!$B$4:$B$203,0)),"未登録"))</f>
        <v/>
      </c>
      <c r="E12" s="29">
        <f>IF($B12="","",IFERROR(INDEX(機種マスタ!$C$4:$C$203,MATCH($B12,機種マスタ!$B$4:$B$203,0)),"-"))</f>
        <v/>
      </c>
      <c r="F12" s="29">
        <f>IF($B12="","",IFERROR(N(INDEX(機種マスタ!$D$4:$D$203,MATCH($B12,機種マスタ!$B$4:$B$203,0))),0))</f>
        <v/>
      </c>
      <c r="G12" s="29">
        <f>IF($B12="","",IF($C12="",1,$C12))</f>
        <v/>
      </c>
      <c r="H12" s="29">
        <f>IF($B12="","",F12*G12)</f>
        <v/>
      </c>
    </row>
    <row r="13">
      <c r="A13" s="40" t="n"/>
      <c r="B13" s="41" t="n"/>
      <c r="C13" s="42" t="n"/>
      <c r="D13" s="29">
        <f>IF($B13="","",IFERROR(INDEX(機種マスタ!$A$4:$A$203,MATCH($B13,機種マスタ!$B$4:$B$203,0)),"未登録"))</f>
        <v/>
      </c>
      <c r="E13" s="29">
        <f>IF($B13="","",IFERROR(INDEX(機種マスタ!$C$4:$C$203,MATCH($B13,機種マスタ!$B$4:$B$203,0)),"-"))</f>
        <v/>
      </c>
      <c r="F13" s="29">
        <f>IF($B13="","",IFERROR(N(INDEX(機種マスタ!$D$4:$D$203,MATCH($B13,機種マスタ!$B$4:$B$203,0))),0))</f>
        <v/>
      </c>
      <c r="G13" s="29">
        <f>IF($B13="","",IF($C13="",1,$C13))</f>
        <v/>
      </c>
      <c r="H13" s="29">
        <f>IF($B13="","",F13*G13)</f>
        <v/>
      </c>
    </row>
    <row r="14">
      <c r="A14" s="40" t="n"/>
      <c r="B14" s="41" t="n"/>
      <c r="C14" s="42" t="n"/>
      <c r="D14" s="29">
        <f>IF($B14="","",IFERROR(INDEX(機種マスタ!$A$4:$A$203,MATCH($B14,機種マスタ!$B$4:$B$203,0)),"未登録"))</f>
        <v/>
      </c>
      <c r="E14" s="29">
        <f>IF($B14="","",IFERROR(INDEX(機種マスタ!$C$4:$C$203,MATCH($B14,機種マスタ!$B$4:$B$203,0)),"-"))</f>
        <v/>
      </c>
      <c r="F14" s="29">
        <f>IF($B14="","",IFERROR(N(INDEX(機種マスタ!$D$4:$D$203,MATCH($B14,機種マスタ!$B$4:$B$203,0))),0))</f>
        <v/>
      </c>
      <c r="G14" s="29">
        <f>IF($B14="","",IF($C14="",1,$C14))</f>
        <v/>
      </c>
      <c r="H14" s="29">
        <f>IF($B14="","",F14*G14)</f>
        <v/>
      </c>
    </row>
    <row r="15">
      <c r="A15" s="40" t="n"/>
      <c r="B15" s="41" t="n"/>
      <c r="C15" s="42" t="n"/>
      <c r="D15" s="29">
        <f>IF($B15="","",IFERROR(INDEX(機種マスタ!$A$4:$A$203,MATCH($B15,機種マスタ!$B$4:$B$203,0)),"未登録"))</f>
        <v/>
      </c>
      <c r="E15" s="29">
        <f>IF($B15="","",IFERROR(INDEX(機種マスタ!$C$4:$C$203,MATCH($B15,機種マスタ!$B$4:$B$203,0)),"-"))</f>
        <v/>
      </c>
      <c r="F15" s="29">
        <f>IF($B15="","",IFERROR(N(INDEX(機種マスタ!$D$4:$D$203,MATCH($B15,機種マスタ!$B$4:$B$203,0))),0))</f>
        <v/>
      </c>
      <c r="G15" s="29">
        <f>IF($B15="","",IF($C15="",1,$C15))</f>
        <v/>
      </c>
      <c r="H15" s="29">
        <f>IF($B15="","",F15*G15)</f>
        <v/>
      </c>
    </row>
    <row r="16">
      <c r="A16" s="40" t="n"/>
      <c r="B16" s="41" t="n"/>
      <c r="C16" s="42" t="n"/>
      <c r="D16" s="29">
        <f>IF($B16="","",IFERROR(INDEX(機種マスタ!$A$4:$A$203,MATCH($B16,機種マスタ!$B$4:$B$203,0)),"未登録"))</f>
        <v/>
      </c>
      <c r="E16" s="29">
        <f>IF($B16="","",IFERROR(INDEX(機種マスタ!$C$4:$C$203,MATCH($B16,機種マスタ!$B$4:$B$203,0)),"-"))</f>
        <v/>
      </c>
      <c r="F16" s="29">
        <f>IF($B16="","",IFERROR(N(INDEX(機種マスタ!$D$4:$D$203,MATCH($B16,機種マスタ!$B$4:$B$203,0))),0))</f>
        <v/>
      </c>
      <c r="G16" s="29">
        <f>IF($B16="","",IF($C16="",1,$C16))</f>
        <v/>
      </c>
      <c r="H16" s="29">
        <f>IF($B16="","",F16*G16)</f>
        <v/>
      </c>
    </row>
    <row r="17">
      <c r="A17" s="40" t="n"/>
      <c r="B17" s="41" t="n"/>
      <c r="C17" s="42" t="n"/>
      <c r="D17" s="29">
        <f>IF($B17="","",IFERROR(INDEX(機種マスタ!$A$4:$A$203,MATCH($B17,機種マスタ!$B$4:$B$203,0)),"未登録"))</f>
        <v/>
      </c>
      <c r="E17" s="29">
        <f>IF($B17="","",IFERROR(INDEX(機種マスタ!$C$4:$C$203,MATCH($B17,機種マスタ!$B$4:$B$203,0)),"-"))</f>
        <v/>
      </c>
      <c r="F17" s="29">
        <f>IF($B17="","",IFERROR(N(INDEX(機種マスタ!$D$4:$D$203,MATCH($B17,機種マスタ!$B$4:$B$203,0))),0))</f>
        <v/>
      </c>
      <c r="G17" s="29">
        <f>IF($B17="","",IF($C17="",1,$C17))</f>
        <v/>
      </c>
      <c r="H17" s="29">
        <f>IF($B17="","",F17*G17)</f>
        <v/>
      </c>
    </row>
    <row r="18">
      <c r="A18" s="40" t="n"/>
      <c r="B18" s="41" t="n"/>
      <c r="C18" s="42" t="n"/>
      <c r="D18" s="29">
        <f>IF($B18="","",IFERROR(INDEX(機種マスタ!$A$4:$A$203,MATCH($B18,機種マスタ!$B$4:$B$203,0)),"未登録"))</f>
        <v/>
      </c>
      <c r="E18" s="29">
        <f>IF($B18="","",IFERROR(INDEX(機種マスタ!$C$4:$C$203,MATCH($B18,機種マスタ!$B$4:$B$203,0)),"-"))</f>
        <v/>
      </c>
      <c r="F18" s="29">
        <f>IF($B18="","",IFERROR(N(INDEX(機種マスタ!$D$4:$D$203,MATCH($B18,機種マスタ!$B$4:$B$203,0))),0))</f>
        <v/>
      </c>
      <c r="G18" s="29">
        <f>IF($B18="","",IF($C18="",1,$C18))</f>
        <v/>
      </c>
      <c r="H18" s="29">
        <f>IF($B18="","",F18*G18)</f>
        <v/>
      </c>
    </row>
    <row r="19">
      <c r="A19" s="40" t="n"/>
      <c r="B19" s="41" t="n"/>
      <c r="C19" s="42" t="n"/>
      <c r="D19" s="29">
        <f>IF($B19="","",IFERROR(INDEX(機種マスタ!$A$4:$A$203,MATCH($B19,機種マスタ!$B$4:$B$203,0)),"未登録"))</f>
        <v/>
      </c>
      <c r="E19" s="29">
        <f>IF($B19="","",IFERROR(INDEX(機種マスタ!$C$4:$C$203,MATCH($B19,機種マスタ!$B$4:$B$203,0)),"-"))</f>
        <v/>
      </c>
      <c r="F19" s="29">
        <f>IF($B19="","",IFERROR(N(INDEX(機種マスタ!$D$4:$D$203,MATCH($B19,機種マスタ!$B$4:$B$203,0))),0))</f>
        <v/>
      </c>
      <c r="G19" s="29">
        <f>IF($B19="","",IF($C19="",1,$C19))</f>
        <v/>
      </c>
      <c r="H19" s="29">
        <f>IF($B19="","",F19*G19)</f>
        <v/>
      </c>
    </row>
    <row r="20">
      <c r="A20" s="40" t="n"/>
      <c r="B20" s="41" t="n"/>
      <c r="C20" s="42" t="n"/>
      <c r="D20" s="29">
        <f>IF($B20="","",IFERROR(INDEX(機種マスタ!$A$4:$A$203,MATCH($B20,機種マスタ!$B$4:$B$203,0)),"未登録"))</f>
        <v/>
      </c>
      <c r="E20" s="29">
        <f>IF($B20="","",IFERROR(INDEX(機種マスタ!$C$4:$C$203,MATCH($B20,機種マスタ!$B$4:$B$203,0)),"-"))</f>
        <v/>
      </c>
      <c r="F20" s="29">
        <f>IF($B20="","",IFERROR(N(INDEX(機種マスタ!$D$4:$D$203,MATCH($B20,機種マスタ!$B$4:$B$203,0))),0))</f>
        <v/>
      </c>
      <c r="G20" s="29">
        <f>IF($B20="","",IF($C20="",1,$C20))</f>
        <v/>
      </c>
      <c r="H20" s="29">
        <f>IF($B20="","",F20*G20)</f>
        <v/>
      </c>
    </row>
    <row r="21">
      <c r="A21" s="40" t="n"/>
      <c r="B21" s="41" t="n"/>
      <c r="C21" s="42" t="n"/>
      <c r="D21" s="29">
        <f>IF($B21="","",IFERROR(INDEX(機種マスタ!$A$4:$A$203,MATCH($B21,機種マスタ!$B$4:$B$203,0)),"未登録"))</f>
        <v/>
      </c>
      <c r="E21" s="29">
        <f>IF($B21="","",IFERROR(INDEX(機種マスタ!$C$4:$C$203,MATCH($B21,機種マスタ!$B$4:$B$203,0)),"-"))</f>
        <v/>
      </c>
      <c r="F21" s="29">
        <f>IF($B21="","",IFERROR(N(INDEX(機種マスタ!$D$4:$D$203,MATCH($B21,機種マスタ!$B$4:$B$203,0))),0))</f>
        <v/>
      </c>
      <c r="G21" s="29">
        <f>IF($B21="","",IF($C21="",1,$C21))</f>
        <v/>
      </c>
      <c r="H21" s="29">
        <f>IF($B21="","",F21*G21)</f>
        <v/>
      </c>
    </row>
    <row r="22">
      <c r="A22" s="40" t="n"/>
      <c r="B22" s="41" t="n"/>
      <c r="C22" s="42" t="n"/>
      <c r="D22" s="29">
        <f>IF($B22="","",IFERROR(INDEX(機種マスタ!$A$4:$A$203,MATCH($B22,機種マスタ!$B$4:$B$203,0)),"未登録"))</f>
        <v/>
      </c>
      <c r="E22" s="29">
        <f>IF($B22="","",IFERROR(INDEX(機種マスタ!$C$4:$C$203,MATCH($B22,機種マスタ!$B$4:$B$203,0)),"-"))</f>
        <v/>
      </c>
      <c r="F22" s="29">
        <f>IF($B22="","",IFERROR(N(INDEX(機種マスタ!$D$4:$D$203,MATCH($B22,機種マスタ!$B$4:$B$203,0))),0))</f>
        <v/>
      </c>
      <c r="G22" s="29">
        <f>IF($B22="","",IF($C22="",1,$C22))</f>
        <v/>
      </c>
      <c r="H22" s="29">
        <f>IF($B22="","",F22*G22)</f>
        <v/>
      </c>
    </row>
    <row r="23">
      <c r="A23" s="40" t="n"/>
      <c r="B23" s="41" t="n"/>
      <c r="C23" s="42" t="n"/>
      <c r="D23" s="29">
        <f>IF($B23="","",IFERROR(INDEX(機種マスタ!$A$4:$A$203,MATCH($B23,機種マスタ!$B$4:$B$203,0)),"未登録"))</f>
        <v/>
      </c>
      <c r="E23" s="29">
        <f>IF($B23="","",IFERROR(INDEX(機種マスタ!$C$4:$C$203,MATCH($B23,機種マスタ!$B$4:$B$203,0)),"-"))</f>
        <v/>
      </c>
      <c r="F23" s="29">
        <f>IF($B23="","",IFERROR(N(INDEX(機種マスタ!$D$4:$D$203,MATCH($B23,機種マスタ!$B$4:$B$203,0))),0))</f>
        <v/>
      </c>
      <c r="G23" s="29">
        <f>IF($B23="","",IF($C23="",1,$C23))</f>
        <v/>
      </c>
      <c r="H23" s="29">
        <f>IF($B23="","",F23*G23)</f>
        <v/>
      </c>
    </row>
    <row r="24">
      <c r="A24" s="40" t="n"/>
      <c r="B24" s="41" t="n"/>
      <c r="C24" s="42" t="n"/>
      <c r="D24" s="29">
        <f>IF($B24="","",IFERROR(INDEX(機種マスタ!$A$4:$A$203,MATCH($B24,機種マスタ!$B$4:$B$203,0)),"未登録"))</f>
        <v/>
      </c>
      <c r="E24" s="29">
        <f>IF($B24="","",IFERROR(INDEX(機種マスタ!$C$4:$C$203,MATCH($B24,機種マスタ!$B$4:$B$203,0)),"-"))</f>
        <v/>
      </c>
      <c r="F24" s="29">
        <f>IF($B24="","",IFERROR(N(INDEX(機種マスタ!$D$4:$D$203,MATCH($B24,機種マスタ!$B$4:$B$203,0))),0))</f>
        <v/>
      </c>
      <c r="G24" s="29">
        <f>IF($B24="","",IF($C24="",1,$C24))</f>
        <v/>
      </c>
      <c r="H24" s="29">
        <f>IF($B24="","",F24*G24)</f>
        <v/>
      </c>
    </row>
    <row r="25">
      <c r="A25" s="40" t="n"/>
      <c r="B25" s="41" t="n"/>
      <c r="C25" s="42" t="n"/>
      <c r="D25" s="29">
        <f>IF($B25="","",IFERROR(INDEX(機種マスタ!$A$4:$A$203,MATCH($B25,機種マスタ!$B$4:$B$203,0)),"未登録"))</f>
        <v/>
      </c>
      <c r="E25" s="29">
        <f>IF($B25="","",IFERROR(INDEX(機種マスタ!$C$4:$C$203,MATCH($B25,機種マスタ!$B$4:$B$203,0)),"-"))</f>
        <v/>
      </c>
      <c r="F25" s="29">
        <f>IF($B25="","",IFERROR(N(INDEX(機種マスタ!$D$4:$D$203,MATCH($B25,機種マスタ!$B$4:$B$203,0))),0))</f>
        <v/>
      </c>
      <c r="G25" s="29">
        <f>IF($B25="","",IF($C25="",1,$C25))</f>
        <v/>
      </c>
      <c r="H25" s="29">
        <f>IF($B25="","",F25*G25)</f>
        <v/>
      </c>
    </row>
    <row r="26">
      <c r="A26" s="40" t="n"/>
      <c r="B26" s="41" t="n"/>
      <c r="C26" s="42" t="n"/>
      <c r="D26" s="29">
        <f>IF($B26="","",IFERROR(INDEX(機種マスタ!$A$4:$A$203,MATCH($B26,機種マスタ!$B$4:$B$203,0)),"未登録"))</f>
        <v/>
      </c>
      <c r="E26" s="29">
        <f>IF($B26="","",IFERROR(INDEX(機種マスタ!$C$4:$C$203,MATCH($B26,機種マスタ!$B$4:$B$203,0)),"-"))</f>
        <v/>
      </c>
      <c r="F26" s="29">
        <f>IF($B26="","",IFERROR(N(INDEX(機種マスタ!$D$4:$D$203,MATCH($B26,機種マスタ!$B$4:$B$203,0))),0))</f>
        <v/>
      </c>
      <c r="G26" s="29">
        <f>IF($B26="","",IF($C26="",1,$C26))</f>
        <v/>
      </c>
      <c r="H26" s="29">
        <f>IF($B26="","",F26*G26)</f>
        <v/>
      </c>
    </row>
    <row r="27">
      <c r="A27" s="40" t="n"/>
      <c r="B27" s="41" t="n"/>
      <c r="C27" s="42" t="n"/>
      <c r="D27" s="29">
        <f>IF($B27="","",IFERROR(INDEX(機種マスタ!$A$4:$A$203,MATCH($B27,機種マスタ!$B$4:$B$203,0)),"未登録"))</f>
        <v/>
      </c>
      <c r="E27" s="29">
        <f>IF($B27="","",IFERROR(INDEX(機種マスタ!$C$4:$C$203,MATCH($B27,機種マスタ!$B$4:$B$203,0)),"-"))</f>
        <v/>
      </c>
      <c r="F27" s="29">
        <f>IF($B27="","",IFERROR(N(INDEX(機種マスタ!$D$4:$D$203,MATCH($B27,機種マスタ!$B$4:$B$203,0))),0))</f>
        <v/>
      </c>
      <c r="G27" s="29">
        <f>IF($B27="","",IF($C27="",1,$C27))</f>
        <v/>
      </c>
      <c r="H27" s="29">
        <f>IF($B27="","",F27*G27)</f>
        <v/>
      </c>
    </row>
    <row r="28">
      <c r="A28" s="40" t="n"/>
      <c r="B28" s="41" t="n"/>
      <c r="C28" s="42" t="n"/>
      <c r="D28" s="29">
        <f>IF($B28="","",IFERROR(INDEX(機種マスタ!$A$4:$A$203,MATCH($B28,機種マスタ!$B$4:$B$203,0)),"未登録"))</f>
        <v/>
      </c>
      <c r="E28" s="29">
        <f>IF($B28="","",IFERROR(INDEX(機種マスタ!$C$4:$C$203,MATCH($B28,機種マスタ!$B$4:$B$203,0)),"-"))</f>
        <v/>
      </c>
      <c r="F28" s="29">
        <f>IF($B28="","",IFERROR(N(INDEX(機種マスタ!$D$4:$D$203,MATCH($B28,機種マスタ!$B$4:$B$203,0))),0))</f>
        <v/>
      </c>
      <c r="G28" s="29">
        <f>IF($B28="","",IF($C28="",1,$C28))</f>
        <v/>
      </c>
      <c r="H28" s="29">
        <f>IF($B28="","",F28*G28)</f>
        <v/>
      </c>
    </row>
    <row r="29">
      <c r="A29" s="40" t="n"/>
      <c r="B29" s="41" t="n"/>
      <c r="C29" s="42" t="n"/>
      <c r="D29" s="29">
        <f>IF($B29="","",IFERROR(INDEX(機種マスタ!$A$4:$A$203,MATCH($B29,機種マスタ!$B$4:$B$203,0)),"未登録"))</f>
        <v/>
      </c>
      <c r="E29" s="29">
        <f>IF($B29="","",IFERROR(INDEX(機種マスタ!$C$4:$C$203,MATCH($B29,機種マスタ!$B$4:$B$203,0)),"-"))</f>
        <v/>
      </c>
      <c r="F29" s="29">
        <f>IF($B29="","",IFERROR(N(INDEX(機種マスタ!$D$4:$D$203,MATCH($B29,機種マスタ!$B$4:$B$203,0))),0))</f>
        <v/>
      </c>
      <c r="G29" s="29">
        <f>IF($B29="","",IF($C29="",1,$C29))</f>
        <v/>
      </c>
      <c r="H29" s="29">
        <f>IF($B29="","",F29*G29)</f>
        <v/>
      </c>
    </row>
    <row r="30">
      <c r="A30" s="40" t="n"/>
      <c r="B30" s="41" t="n"/>
      <c r="C30" s="42" t="n"/>
      <c r="D30" s="29">
        <f>IF($B30="","",IFERROR(INDEX(機種マスタ!$A$4:$A$203,MATCH($B30,機種マスタ!$B$4:$B$203,0)),"未登録"))</f>
        <v/>
      </c>
      <c r="E30" s="29">
        <f>IF($B30="","",IFERROR(INDEX(機種マスタ!$C$4:$C$203,MATCH($B30,機種マスタ!$B$4:$B$203,0)),"-"))</f>
        <v/>
      </c>
      <c r="F30" s="29">
        <f>IF($B30="","",IFERROR(N(INDEX(機種マスタ!$D$4:$D$203,MATCH($B30,機種マスタ!$B$4:$B$203,0))),0))</f>
        <v/>
      </c>
      <c r="G30" s="29">
        <f>IF($B30="","",IF($C30="",1,$C30))</f>
        <v/>
      </c>
      <c r="H30" s="29">
        <f>IF($B30="","",F30*G30)</f>
        <v/>
      </c>
    </row>
    <row r="31">
      <c r="A31" s="40" t="n"/>
      <c r="B31" s="41" t="n"/>
      <c r="C31" s="42" t="n"/>
      <c r="D31" s="29">
        <f>IF($B31="","",IFERROR(INDEX(機種マスタ!$A$4:$A$203,MATCH($B31,機種マスタ!$B$4:$B$203,0)),"未登録"))</f>
        <v/>
      </c>
      <c r="E31" s="29">
        <f>IF($B31="","",IFERROR(INDEX(機種マスタ!$C$4:$C$203,MATCH($B31,機種マスタ!$B$4:$B$203,0)),"-"))</f>
        <v/>
      </c>
      <c r="F31" s="29">
        <f>IF($B31="","",IFERROR(N(INDEX(機種マスタ!$D$4:$D$203,MATCH($B31,機種マスタ!$B$4:$B$203,0))),0))</f>
        <v/>
      </c>
      <c r="G31" s="29">
        <f>IF($B31="","",IF($C31="",1,$C31))</f>
        <v/>
      </c>
      <c r="H31" s="29">
        <f>IF($B31="","",F31*G31)</f>
        <v/>
      </c>
    </row>
    <row r="32">
      <c r="A32" s="40" t="n"/>
      <c r="B32" s="41" t="n"/>
      <c r="C32" s="42" t="n"/>
      <c r="D32" s="29">
        <f>IF($B32="","",IFERROR(INDEX(機種マスタ!$A$4:$A$203,MATCH($B32,機種マスタ!$B$4:$B$203,0)),"未登録"))</f>
        <v/>
      </c>
      <c r="E32" s="29">
        <f>IF($B32="","",IFERROR(INDEX(機種マスタ!$C$4:$C$203,MATCH($B32,機種マスタ!$B$4:$B$203,0)),"-"))</f>
        <v/>
      </c>
      <c r="F32" s="29">
        <f>IF($B32="","",IFERROR(N(INDEX(機種マスタ!$D$4:$D$203,MATCH($B32,機種マスタ!$B$4:$B$203,0))),0))</f>
        <v/>
      </c>
      <c r="G32" s="29">
        <f>IF($B32="","",IF($C32="",1,$C32))</f>
        <v/>
      </c>
      <c r="H32" s="29">
        <f>IF($B32="","",F32*G32)</f>
        <v/>
      </c>
    </row>
    <row r="33">
      <c r="A33" s="40" t="n"/>
      <c r="B33" s="41" t="n"/>
      <c r="C33" s="42" t="n"/>
      <c r="D33" s="29">
        <f>IF($B33="","",IFERROR(INDEX(機種マスタ!$A$4:$A$203,MATCH($B33,機種マスタ!$B$4:$B$203,0)),"未登録"))</f>
        <v/>
      </c>
      <c r="E33" s="29">
        <f>IF($B33="","",IFERROR(INDEX(機種マスタ!$C$4:$C$203,MATCH($B33,機種マスタ!$B$4:$B$203,0)),"-"))</f>
        <v/>
      </c>
      <c r="F33" s="29">
        <f>IF($B33="","",IFERROR(N(INDEX(機種マスタ!$D$4:$D$203,MATCH($B33,機種マスタ!$B$4:$B$203,0))),0))</f>
        <v/>
      </c>
      <c r="G33" s="29">
        <f>IF($B33="","",IF($C33="",1,$C33))</f>
        <v/>
      </c>
      <c r="H33" s="29">
        <f>IF($B33="","",F33*G33)</f>
        <v/>
      </c>
    </row>
    <row r="34">
      <c r="A34" s="40" t="n"/>
      <c r="B34" s="41" t="n"/>
      <c r="C34" s="42" t="n"/>
      <c r="D34" s="29">
        <f>IF($B34="","",IFERROR(INDEX(機種マスタ!$A$4:$A$203,MATCH($B34,機種マスタ!$B$4:$B$203,0)),"未登録"))</f>
        <v/>
      </c>
      <c r="E34" s="29">
        <f>IF($B34="","",IFERROR(INDEX(機種マスタ!$C$4:$C$203,MATCH($B34,機種マスタ!$B$4:$B$203,0)),"-"))</f>
        <v/>
      </c>
      <c r="F34" s="29">
        <f>IF($B34="","",IFERROR(N(INDEX(機種マスタ!$D$4:$D$203,MATCH($B34,機種マスタ!$B$4:$B$203,0))),0))</f>
        <v/>
      </c>
      <c r="G34" s="29">
        <f>IF($B34="","",IF($C34="",1,$C34))</f>
        <v/>
      </c>
      <c r="H34" s="29">
        <f>IF($B34="","",F34*G34)</f>
        <v/>
      </c>
    </row>
    <row r="35">
      <c r="A35" s="40" t="n"/>
      <c r="B35" s="41" t="n"/>
      <c r="C35" s="42" t="n"/>
      <c r="D35" s="29">
        <f>IF($B35="","",IFERROR(INDEX(機種マスタ!$A$4:$A$203,MATCH($B35,機種マスタ!$B$4:$B$203,0)),"未登録"))</f>
        <v/>
      </c>
      <c r="E35" s="29">
        <f>IF($B35="","",IFERROR(INDEX(機種マスタ!$C$4:$C$203,MATCH($B35,機種マスタ!$B$4:$B$203,0)),"-"))</f>
        <v/>
      </c>
      <c r="F35" s="29">
        <f>IF($B35="","",IFERROR(N(INDEX(機種マスタ!$D$4:$D$203,MATCH($B35,機種マスタ!$B$4:$B$203,0))),0))</f>
        <v/>
      </c>
      <c r="G35" s="29">
        <f>IF($B35="","",IF($C35="",1,$C35))</f>
        <v/>
      </c>
      <c r="H35" s="29">
        <f>IF($B35="","",F35*G35)</f>
        <v/>
      </c>
    </row>
    <row r="36">
      <c r="A36" s="40" t="n"/>
      <c r="B36" s="41" t="n"/>
      <c r="C36" s="42" t="n"/>
      <c r="D36" s="29">
        <f>IF($B36="","",IFERROR(INDEX(機種マスタ!$A$4:$A$203,MATCH($B36,機種マスタ!$B$4:$B$203,0)),"未登録"))</f>
        <v/>
      </c>
      <c r="E36" s="29">
        <f>IF($B36="","",IFERROR(INDEX(機種マスタ!$C$4:$C$203,MATCH($B36,機種マスタ!$B$4:$B$203,0)),"-"))</f>
        <v/>
      </c>
      <c r="F36" s="29">
        <f>IF($B36="","",IFERROR(N(INDEX(機種マスタ!$D$4:$D$203,MATCH($B36,機種マスタ!$B$4:$B$203,0))),0))</f>
        <v/>
      </c>
      <c r="G36" s="29">
        <f>IF($B36="","",IF($C36="",1,$C36))</f>
        <v/>
      </c>
      <c r="H36" s="29">
        <f>IF($B36="","",F36*G36)</f>
        <v/>
      </c>
    </row>
    <row r="37">
      <c r="A37" s="40" t="n"/>
      <c r="B37" s="41" t="n"/>
      <c r="C37" s="42" t="n"/>
      <c r="D37" s="29">
        <f>IF($B37="","",IFERROR(INDEX(機種マスタ!$A$4:$A$203,MATCH($B37,機種マスタ!$B$4:$B$203,0)),"未登録"))</f>
        <v/>
      </c>
      <c r="E37" s="29">
        <f>IF($B37="","",IFERROR(INDEX(機種マスタ!$C$4:$C$203,MATCH($B37,機種マスタ!$B$4:$B$203,0)),"-"))</f>
        <v/>
      </c>
      <c r="F37" s="29">
        <f>IF($B37="","",IFERROR(N(INDEX(機種マスタ!$D$4:$D$203,MATCH($B37,機種マスタ!$B$4:$B$203,0))),0))</f>
        <v/>
      </c>
      <c r="G37" s="29">
        <f>IF($B37="","",IF($C37="",1,$C37))</f>
        <v/>
      </c>
      <c r="H37" s="29">
        <f>IF($B37="","",F37*G37)</f>
        <v/>
      </c>
    </row>
    <row r="38">
      <c r="A38" s="40" t="n"/>
      <c r="B38" s="41" t="n"/>
      <c r="C38" s="42" t="n"/>
      <c r="D38" s="29">
        <f>IF($B38="","",IFERROR(INDEX(機種マスタ!$A$4:$A$203,MATCH($B38,機種マスタ!$B$4:$B$203,0)),"未登録"))</f>
        <v/>
      </c>
      <c r="E38" s="29">
        <f>IF($B38="","",IFERROR(INDEX(機種マスタ!$C$4:$C$203,MATCH($B38,機種マスタ!$B$4:$B$203,0)),"-"))</f>
        <v/>
      </c>
      <c r="F38" s="29">
        <f>IF($B38="","",IFERROR(N(INDEX(機種マスタ!$D$4:$D$203,MATCH($B38,機種マスタ!$B$4:$B$203,0))),0))</f>
        <v/>
      </c>
      <c r="G38" s="29">
        <f>IF($B38="","",IF($C38="",1,$C38))</f>
        <v/>
      </c>
      <c r="H38" s="29">
        <f>IF($B38="","",F38*G38)</f>
        <v/>
      </c>
    </row>
    <row r="39">
      <c r="A39" s="40" t="n"/>
      <c r="B39" s="41" t="n"/>
      <c r="C39" s="42" t="n"/>
      <c r="D39" s="29">
        <f>IF($B39="","",IFERROR(INDEX(機種マスタ!$A$4:$A$203,MATCH($B39,機種マスタ!$B$4:$B$203,0)),"未登録"))</f>
        <v/>
      </c>
      <c r="E39" s="29">
        <f>IF($B39="","",IFERROR(INDEX(機種マスタ!$C$4:$C$203,MATCH($B39,機種マスタ!$B$4:$B$203,0)),"-"))</f>
        <v/>
      </c>
      <c r="F39" s="29">
        <f>IF($B39="","",IFERROR(N(INDEX(機種マスタ!$D$4:$D$203,MATCH($B39,機種マスタ!$B$4:$B$203,0))),0))</f>
        <v/>
      </c>
      <c r="G39" s="29">
        <f>IF($B39="","",IF($C39="",1,$C39))</f>
        <v/>
      </c>
      <c r="H39" s="29">
        <f>IF($B39="","",F39*G39)</f>
        <v/>
      </c>
    </row>
    <row r="40">
      <c r="A40" s="40" t="n"/>
      <c r="B40" s="41" t="n"/>
      <c r="C40" s="42" t="n"/>
      <c r="D40" s="29">
        <f>IF($B40="","",IFERROR(INDEX(機種マスタ!$A$4:$A$203,MATCH($B40,機種マスタ!$B$4:$B$203,0)),"未登録"))</f>
        <v/>
      </c>
      <c r="E40" s="29">
        <f>IF($B40="","",IFERROR(INDEX(機種マスタ!$C$4:$C$203,MATCH($B40,機種マスタ!$B$4:$B$203,0)),"-"))</f>
        <v/>
      </c>
      <c r="F40" s="29">
        <f>IF($B40="","",IFERROR(N(INDEX(機種マスタ!$D$4:$D$203,MATCH($B40,機種マスタ!$B$4:$B$203,0))),0))</f>
        <v/>
      </c>
      <c r="G40" s="29">
        <f>IF($B40="","",IF($C40="",1,$C40))</f>
        <v/>
      </c>
      <c r="H40" s="29">
        <f>IF($B40="","",F40*G40)</f>
        <v/>
      </c>
    </row>
    <row r="41">
      <c r="A41" s="40" t="n"/>
      <c r="B41" s="41" t="n"/>
      <c r="C41" s="42" t="n"/>
      <c r="D41" s="29">
        <f>IF($B41="","",IFERROR(INDEX(機種マスタ!$A$4:$A$203,MATCH($B41,機種マスタ!$B$4:$B$203,0)),"未登録"))</f>
        <v/>
      </c>
      <c r="E41" s="29">
        <f>IF($B41="","",IFERROR(INDEX(機種マスタ!$C$4:$C$203,MATCH($B41,機種マスタ!$B$4:$B$203,0)),"-"))</f>
        <v/>
      </c>
      <c r="F41" s="29">
        <f>IF($B41="","",IFERROR(N(INDEX(機種マスタ!$D$4:$D$203,MATCH($B41,機種マスタ!$B$4:$B$203,0))),0))</f>
        <v/>
      </c>
      <c r="G41" s="29">
        <f>IF($B41="","",IF($C41="",1,$C41))</f>
        <v/>
      </c>
      <c r="H41" s="29">
        <f>IF($B41="","",F41*G41)</f>
        <v/>
      </c>
    </row>
    <row r="42">
      <c r="A42" s="40" t="n"/>
      <c r="B42" s="41" t="n"/>
      <c r="C42" s="42" t="n"/>
      <c r="D42" s="29">
        <f>IF($B42="","",IFERROR(INDEX(機種マスタ!$A$4:$A$203,MATCH($B42,機種マスタ!$B$4:$B$203,0)),"未登録"))</f>
        <v/>
      </c>
      <c r="E42" s="29">
        <f>IF($B42="","",IFERROR(INDEX(機種マスタ!$C$4:$C$203,MATCH($B42,機種マスタ!$B$4:$B$203,0)),"-"))</f>
        <v/>
      </c>
      <c r="F42" s="29">
        <f>IF($B42="","",IFERROR(N(INDEX(機種マスタ!$D$4:$D$203,MATCH($B42,機種マスタ!$B$4:$B$203,0))),0))</f>
        <v/>
      </c>
      <c r="G42" s="29">
        <f>IF($B42="","",IF($C42="",1,$C42))</f>
        <v/>
      </c>
      <c r="H42" s="29">
        <f>IF($B42="","",F42*G42)</f>
        <v/>
      </c>
    </row>
    <row r="43">
      <c r="A43" s="40" t="n"/>
      <c r="B43" s="41" t="n"/>
      <c r="C43" s="42" t="n"/>
      <c r="D43" s="29">
        <f>IF($B43="","",IFERROR(INDEX(機種マスタ!$A$4:$A$203,MATCH($B43,機種マスタ!$B$4:$B$203,0)),"未登録"))</f>
        <v/>
      </c>
      <c r="E43" s="29">
        <f>IF($B43="","",IFERROR(INDEX(機種マスタ!$C$4:$C$203,MATCH($B43,機種マスタ!$B$4:$B$203,0)),"-"))</f>
        <v/>
      </c>
      <c r="F43" s="29">
        <f>IF($B43="","",IFERROR(N(INDEX(機種マスタ!$D$4:$D$203,MATCH($B43,機種マスタ!$B$4:$B$203,0))),0))</f>
        <v/>
      </c>
      <c r="G43" s="29">
        <f>IF($B43="","",IF($C43="",1,$C43))</f>
        <v/>
      </c>
      <c r="H43" s="29">
        <f>IF($B43="","",F43*G43)</f>
        <v/>
      </c>
    </row>
    <row r="44">
      <c r="A44" s="40" t="n"/>
      <c r="B44" s="41" t="n"/>
      <c r="C44" s="42" t="n"/>
      <c r="D44" s="29">
        <f>IF($B44="","",IFERROR(INDEX(機種マスタ!$A$4:$A$203,MATCH($B44,機種マスタ!$B$4:$B$203,0)),"未登録"))</f>
        <v/>
      </c>
      <c r="E44" s="29">
        <f>IF($B44="","",IFERROR(INDEX(機種マスタ!$C$4:$C$203,MATCH($B44,機種マスタ!$B$4:$B$203,0)),"-"))</f>
        <v/>
      </c>
      <c r="F44" s="29">
        <f>IF($B44="","",IFERROR(N(INDEX(機種マスタ!$D$4:$D$203,MATCH($B44,機種マスタ!$B$4:$B$203,0))),0))</f>
        <v/>
      </c>
      <c r="G44" s="29">
        <f>IF($B44="","",IF($C44="",1,$C44))</f>
        <v/>
      </c>
      <c r="H44" s="29">
        <f>IF($B44="","",F44*G44)</f>
        <v/>
      </c>
    </row>
    <row r="45">
      <c r="A45" s="40" t="n"/>
      <c r="B45" s="41" t="n"/>
      <c r="C45" s="42" t="n"/>
      <c r="D45" s="29">
        <f>IF($B45="","",IFERROR(INDEX(機種マスタ!$A$4:$A$203,MATCH($B45,機種マスタ!$B$4:$B$203,0)),"未登録"))</f>
        <v/>
      </c>
      <c r="E45" s="29">
        <f>IF($B45="","",IFERROR(INDEX(機種マスタ!$C$4:$C$203,MATCH($B45,機種マスタ!$B$4:$B$203,0)),"-"))</f>
        <v/>
      </c>
      <c r="F45" s="29">
        <f>IF($B45="","",IFERROR(N(INDEX(機種マスタ!$D$4:$D$203,MATCH($B45,機種マスタ!$B$4:$B$203,0))),0))</f>
        <v/>
      </c>
      <c r="G45" s="29">
        <f>IF($B45="","",IF($C45="",1,$C45))</f>
        <v/>
      </c>
      <c r="H45" s="29">
        <f>IF($B45="","",F45*G45)</f>
        <v/>
      </c>
    </row>
    <row r="46">
      <c r="A46" s="40" t="n"/>
      <c r="B46" s="41" t="n"/>
      <c r="C46" s="42" t="n"/>
      <c r="D46" s="29">
        <f>IF($B46="","",IFERROR(INDEX(機種マスタ!$A$4:$A$203,MATCH($B46,機種マスタ!$B$4:$B$203,0)),"未登録"))</f>
        <v/>
      </c>
      <c r="E46" s="29">
        <f>IF($B46="","",IFERROR(INDEX(機種マスタ!$C$4:$C$203,MATCH($B46,機種マスタ!$B$4:$B$203,0)),"-"))</f>
        <v/>
      </c>
      <c r="F46" s="29">
        <f>IF($B46="","",IFERROR(N(INDEX(機種マスタ!$D$4:$D$203,MATCH($B46,機種マスタ!$B$4:$B$203,0))),0))</f>
        <v/>
      </c>
      <c r="G46" s="29">
        <f>IF($B46="","",IF($C46="",1,$C46))</f>
        <v/>
      </c>
      <c r="H46" s="29">
        <f>IF($B46="","",F46*G46)</f>
        <v/>
      </c>
    </row>
    <row r="47">
      <c r="A47" s="40" t="n"/>
      <c r="B47" s="41" t="n"/>
      <c r="C47" s="42" t="n"/>
      <c r="D47" s="29">
        <f>IF($B47="","",IFERROR(INDEX(機種マスタ!$A$4:$A$203,MATCH($B47,機種マスタ!$B$4:$B$203,0)),"未登録"))</f>
        <v/>
      </c>
      <c r="E47" s="29">
        <f>IF($B47="","",IFERROR(INDEX(機種マスタ!$C$4:$C$203,MATCH($B47,機種マスタ!$B$4:$B$203,0)),"-"))</f>
        <v/>
      </c>
      <c r="F47" s="29">
        <f>IF($B47="","",IFERROR(N(INDEX(機種マスタ!$D$4:$D$203,MATCH($B47,機種マスタ!$B$4:$B$203,0))),0))</f>
        <v/>
      </c>
      <c r="G47" s="29">
        <f>IF($B47="","",IF($C47="",1,$C47))</f>
        <v/>
      </c>
      <c r="H47" s="29">
        <f>IF($B47="","",F47*G47)</f>
        <v/>
      </c>
    </row>
    <row r="48">
      <c r="A48" s="40" t="n"/>
      <c r="B48" s="41" t="n"/>
      <c r="C48" s="42" t="n"/>
      <c r="D48" s="29">
        <f>IF($B48="","",IFERROR(INDEX(機種マスタ!$A$4:$A$203,MATCH($B48,機種マスタ!$B$4:$B$203,0)),"未登録"))</f>
        <v/>
      </c>
      <c r="E48" s="29">
        <f>IF($B48="","",IFERROR(INDEX(機種マスタ!$C$4:$C$203,MATCH($B48,機種マスタ!$B$4:$B$203,0)),"-"))</f>
        <v/>
      </c>
      <c r="F48" s="29">
        <f>IF($B48="","",IFERROR(N(INDEX(機種マスタ!$D$4:$D$203,MATCH($B48,機種マスタ!$B$4:$B$203,0))),0))</f>
        <v/>
      </c>
      <c r="G48" s="29">
        <f>IF($B48="","",IF($C48="",1,$C48))</f>
        <v/>
      </c>
      <c r="H48" s="29">
        <f>IF($B48="","",F48*G48)</f>
        <v/>
      </c>
    </row>
    <row r="49">
      <c r="A49" s="40" t="n"/>
      <c r="B49" s="41" t="n"/>
      <c r="C49" s="42" t="n"/>
      <c r="D49" s="29">
        <f>IF($B49="","",IFERROR(INDEX(機種マスタ!$A$4:$A$203,MATCH($B49,機種マスタ!$B$4:$B$203,0)),"未登録"))</f>
        <v/>
      </c>
      <c r="E49" s="29">
        <f>IF($B49="","",IFERROR(INDEX(機種マスタ!$C$4:$C$203,MATCH($B49,機種マスタ!$B$4:$B$203,0)),"-"))</f>
        <v/>
      </c>
      <c r="F49" s="29">
        <f>IF($B49="","",IFERROR(N(INDEX(機種マスタ!$D$4:$D$203,MATCH($B49,機種マスタ!$B$4:$B$203,0))),0))</f>
        <v/>
      </c>
      <c r="G49" s="29">
        <f>IF($B49="","",IF($C49="",1,$C49))</f>
        <v/>
      </c>
      <c r="H49" s="29">
        <f>IF($B49="","",F49*G49)</f>
        <v/>
      </c>
    </row>
    <row r="50">
      <c r="A50" s="40" t="n"/>
      <c r="B50" s="41" t="n"/>
      <c r="C50" s="42" t="n"/>
      <c r="D50" s="29">
        <f>IF($B50="","",IFERROR(INDEX(機種マスタ!$A$4:$A$203,MATCH($B50,機種マスタ!$B$4:$B$203,0)),"未登録"))</f>
        <v/>
      </c>
      <c r="E50" s="29">
        <f>IF($B50="","",IFERROR(INDEX(機種マスタ!$C$4:$C$203,MATCH($B50,機種マスタ!$B$4:$B$203,0)),"-"))</f>
        <v/>
      </c>
      <c r="F50" s="29">
        <f>IF($B50="","",IFERROR(N(INDEX(機種マスタ!$D$4:$D$203,MATCH($B50,機種マスタ!$B$4:$B$203,0))),0))</f>
        <v/>
      </c>
      <c r="G50" s="29">
        <f>IF($B50="","",IF($C50="",1,$C50))</f>
        <v/>
      </c>
      <c r="H50" s="29">
        <f>IF($B50="","",F50*G50)</f>
        <v/>
      </c>
    </row>
    <row r="51">
      <c r="A51" s="40" t="n"/>
      <c r="B51" s="41" t="n"/>
      <c r="C51" s="42" t="n"/>
      <c r="D51" s="29">
        <f>IF($B51="","",IFERROR(INDEX(機種マスタ!$A$4:$A$203,MATCH($B51,機種マスタ!$B$4:$B$203,0)),"未登録"))</f>
        <v/>
      </c>
      <c r="E51" s="29">
        <f>IF($B51="","",IFERROR(INDEX(機種マスタ!$C$4:$C$203,MATCH($B51,機種マスタ!$B$4:$B$203,0)),"-"))</f>
        <v/>
      </c>
      <c r="F51" s="29">
        <f>IF($B51="","",IFERROR(N(INDEX(機種マスタ!$D$4:$D$203,MATCH($B51,機種マスタ!$B$4:$B$203,0))),0))</f>
        <v/>
      </c>
      <c r="G51" s="29">
        <f>IF($B51="","",IF($C51="",1,$C51))</f>
        <v/>
      </c>
      <c r="H51" s="29">
        <f>IF($B51="","",F51*G51)</f>
        <v/>
      </c>
    </row>
    <row r="52">
      <c r="A52" s="40" t="n"/>
      <c r="B52" s="41" t="n"/>
      <c r="C52" s="42" t="n"/>
      <c r="D52" s="29">
        <f>IF($B52="","",IFERROR(INDEX(機種マスタ!$A$4:$A$203,MATCH($B52,機種マスタ!$B$4:$B$203,0)),"未登録"))</f>
        <v/>
      </c>
      <c r="E52" s="29">
        <f>IF($B52="","",IFERROR(INDEX(機種マスタ!$C$4:$C$203,MATCH($B52,機種マスタ!$B$4:$B$203,0)),"-"))</f>
        <v/>
      </c>
      <c r="F52" s="29">
        <f>IF($B52="","",IFERROR(N(INDEX(機種マスタ!$D$4:$D$203,MATCH($B52,機種マスタ!$B$4:$B$203,0))),0))</f>
        <v/>
      </c>
      <c r="G52" s="29">
        <f>IF($B52="","",IF($C52="",1,$C52))</f>
        <v/>
      </c>
      <c r="H52" s="29">
        <f>IF($B52="","",F52*G52)</f>
        <v/>
      </c>
    </row>
    <row r="53">
      <c r="A53" s="40" t="n"/>
      <c r="B53" s="41" t="n"/>
      <c r="C53" s="42" t="n"/>
      <c r="D53" s="29">
        <f>IF($B53="","",IFERROR(INDEX(機種マスタ!$A$4:$A$203,MATCH($B53,機種マスタ!$B$4:$B$203,0)),"未登録"))</f>
        <v/>
      </c>
      <c r="E53" s="29">
        <f>IF($B53="","",IFERROR(INDEX(機種マスタ!$C$4:$C$203,MATCH($B53,機種マスタ!$B$4:$B$203,0)),"-"))</f>
        <v/>
      </c>
      <c r="F53" s="29">
        <f>IF($B53="","",IFERROR(N(INDEX(機種マスタ!$D$4:$D$203,MATCH($B53,機種マスタ!$B$4:$B$203,0))),0))</f>
        <v/>
      </c>
      <c r="G53" s="29">
        <f>IF($B53="","",IF($C53="",1,$C53))</f>
        <v/>
      </c>
      <c r="H53" s="29">
        <f>IF($B53="","",F53*G53)</f>
        <v/>
      </c>
    </row>
    <row r="54">
      <c r="A54" s="40" t="n"/>
      <c r="B54" s="41" t="n"/>
      <c r="C54" s="42" t="n"/>
      <c r="D54" s="29">
        <f>IF($B54="","",IFERROR(INDEX(機種マスタ!$A$4:$A$203,MATCH($B54,機種マスタ!$B$4:$B$203,0)),"未登録"))</f>
        <v/>
      </c>
      <c r="E54" s="29">
        <f>IF($B54="","",IFERROR(INDEX(機種マスタ!$C$4:$C$203,MATCH($B54,機種マスタ!$B$4:$B$203,0)),"-"))</f>
        <v/>
      </c>
      <c r="F54" s="29">
        <f>IF($B54="","",IFERROR(N(INDEX(機種マスタ!$D$4:$D$203,MATCH($B54,機種マスタ!$B$4:$B$203,0))),0))</f>
        <v/>
      </c>
      <c r="G54" s="29">
        <f>IF($B54="","",IF($C54="",1,$C54))</f>
        <v/>
      </c>
      <c r="H54" s="29">
        <f>IF($B54="","",F54*G54)</f>
        <v/>
      </c>
    </row>
    <row r="55">
      <c r="A55" s="40" t="n"/>
      <c r="B55" s="41" t="n"/>
      <c r="C55" s="42" t="n"/>
      <c r="D55" s="29">
        <f>IF($B55="","",IFERROR(INDEX(機種マスタ!$A$4:$A$203,MATCH($B55,機種マスタ!$B$4:$B$203,0)),"未登録"))</f>
        <v/>
      </c>
      <c r="E55" s="29">
        <f>IF($B55="","",IFERROR(INDEX(機種マスタ!$C$4:$C$203,MATCH($B55,機種マスタ!$B$4:$B$203,0)),"-"))</f>
        <v/>
      </c>
      <c r="F55" s="29">
        <f>IF($B55="","",IFERROR(N(INDEX(機種マスタ!$D$4:$D$203,MATCH($B55,機種マスタ!$B$4:$B$203,0))),0))</f>
        <v/>
      </c>
      <c r="G55" s="29">
        <f>IF($B55="","",IF($C55="",1,$C55))</f>
        <v/>
      </c>
      <c r="H55" s="29">
        <f>IF($B55="","",F55*G55)</f>
        <v/>
      </c>
    </row>
    <row r="56">
      <c r="A56" s="40" t="n"/>
      <c r="B56" s="41" t="n"/>
      <c r="C56" s="42" t="n"/>
      <c r="D56" s="29">
        <f>IF($B56="","",IFERROR(INDEX(機種マスタ!$A$4:$A$203,MATCH($B56,機種マスタ!$B$4:$B$203,0)),"未登録"))</f>
        <v/>
      </c>
      <c r="E56" s="29">
        <f>IF($B56="","",IFERROR(INDEX(機種マスタ!$C$4:$C$203,MATCH($B56,機種マスタ!$B$4:$B$203,0)),"-"))</f>
        <v/>
      </c>
      <c r="F56" s="29">
        <f>IF($B56="","",IFERROR(N(INDEX(機種マスタ!$D$4:$D$203,MATCH($B56,機種マスタ!$B$4:$B$203,0))),0))</f>
        <v/>
      </c>
      <c r="G56" s="29">
        <f>IF($B56="","",IF($C56="",1,$C56))</f>
        <v/>
      </c>
      <c r="H56" s="29">
        <f>IF($B56="","",F56*G56)</f>
        <v/>
      </c>
    </row>
    <row r="57">
      <c r="A57" s="40" t="n"/>
      <c r="B57" s="41" t="n"/>
      <c r="C57" s="42" t="n"/>
      <c r="D57" s="29">
        <f>IF($B57="","",IFERROR(INDEX(機種マスタ!$A$4:$A$203,MATCH($B57,機種マスタ!$B$4:$B$203,0)),"未登録"))</f>
        <v/>
      </c>
      <c r="E57" s="29">
        <f>IF($B57="","",IFERROR(INDEX(機種マスタ!$C$4:$C$203,MATCH($B57,機種マスタ!$B$4:$B$203,0)),"-"))</f>
        <v/>
      </c>
      <c r="F57" s="29">
        <f>IF($B57="","",IFERROR(N(INDEX(機種マスタ!$D$4:$D$203,MATCH($B57,機種マスタ!$B$4:$B$203,0))),0))</f>
        <v/>
      </c>
      <c r="G57" s="29">
        <f>IF($B57="","",IF($C57="",1,$C57))</f>
        <v/>
      </c>
      <c r="H57" s="29">
        <f>IF($B57="","",F57*G57)</f>
        <v/>
      </c>
    </row>
    <row r="58">
      <c r="A58" s="40" t="n"/>
      <c r="B58" s="41" t="n"/>
      <c r="C58" s="42" t="n"/>
      <c r="D58" s="29">
        <f>IF($B58="","",IFERROR(INDEX(機種マスタ!$A$4:$A$203,MATCH($B58,機種マスタ!$B$4:$B$203,0)),"未登録"))</f>
        <v/>
      </c>
      <c r="E58" s="29">
        <f>IF($B58="","",IFERROR(INDEX(機種マスタ!$C$4:$C$203,MATCH($B58,機種マスタ!$B$4:$B$203,0)),"-"))</f>
        <v/>
      </c>
      <c r="F58" s="29">
        <f>IF($B58="","",IFERROR(N(INDEX(機種マスタ!$D$4:$D$203,MATCH($B58,機種マスタ!$B$4:$B$203,0))),0))</f>
        <v/>
      </c>
      <c r="G58" s="29">
        <f>IF($B58="","",IF($C58="",1,$C58))</f>
        <v/>
      </c>
      <c r="H58" s="29">
        <f>IF($B58="","",F58*G58)</f>
        <v/>
      </c>
    </row>
    <row r="59">
      <c r="A59" s="40" t="n"/>
      <c r="B59" s="41" t="n"/>
      <c r="C59" s="42" t="n"/>
      <c r="D59" s="29">
        <f>IF($B59="","",IFERROR(INDEX(機種マスタ!$A$4:$A$203,MATCH($B59,機種マスタ!$B$4:$B$203,0)),"未登録"))</f>
        <v/>
      </c>
      <c r="E59" s="29">
        <f>IF($B59="","",IFERROR(INDEX(機種マスタ!$C$4:$C$203,MATCH($B59,機種マスタ!$B$4:$B$203,0)),"-"))</f>
        <v/>
      </c>
      <c r="F59" s="29">
        <f>IF($B59="","",IFERROR(N(INDEX(機種マスタ!$D$4:$D$203,MATCH($B59,機種マスタ!$B$4:$B$203,0))),0))</f>
        <v/>
      </c>
      <c r="G59" s="29">
        <f>IF($B59="","",IF($C59="",1,$C59))</f>
        <v/>
      </c>
      <c r="H59" s="29">
        <f>IF($B59="","",F59*G59)</f>
        <v/>
      </c>
    </row>
    <row r="60">
      <c r="A60" s="40" t="n"/>
      <c r="B60" s="41" t="n"/>
      <c r="C60" s="42" t="n"/>
      <c r="D60" s="29">
        <f>IF($B60="","",IFERROR(INDEX(機種マスタ!$A$4:$A$203,MATCH($B60,機種マスタ!$B$4:$B$203,0)),"未登録"))</f>
        <v/>
      </c>
      <c r="E60" s="29">
        <f>IF($B60="","",IFERROR(INDEX(機種マスタ!$C$4:$C$203,MATCH($B60,機種マスタ!$B$4:$B$203,0)),"-"))</f>
        <v/>
      </c>
      <c r="F60" s="29">
        <f>IF($B60="","",IFERROR(N(INDEX(機種マスタ!$D$4:$D$203,MATCH($B60,機種マスタ!$B$4:$B$203,0))),0))</f>
        <v/>
      </c>
      <c r="G60" s="29">
        <f>IF($B60="","",IF($C60="",1,$C60))</f>
        <v/>
      </c>
      <c r="H60" s="29">
        <f>IF($B60="","",F60*G60)</f>
        <v/>
      </c>
    </row>
    <row r="61">
      <c r="A61" s="40" t="n"/>
      <c r="B61" s="41" t="n"/>
      <c r="C61" s="42" t="n"/>
      <c r="D61" s="29">
        <f>IF($B61="","",IFERROR(INDEX(機種マスタ!$A$4:$A$203,MATCH($B61,機種マスタ!$B$4:$B$203,0)),"未登録"))</f>
        <v/>
      </c>
      <c r="E61" s="29">
        <f>IF($B61="","",IFERROR(INDEX(機種マスタ!$C$4:$C$203,MATCH($B61,機種マスタ!$B$4:$B$203,0)),"-"))</f>
        <v/>
      </c>
      <c r="F61" s="29">
        <f>IF($B61="","",IFERROR(N(INDEX(機種マスタ!$D$4:$D$203,MATCH($B61,機種マスタ!$B$4:$B$203,0))),0))</f>
        <v/>
      </c>
      <c r="G61" s="29">
        <f>IF($B61="","",IF($C61="",1,$C61))</f>
        <v/>
      </c>
      <c r="H61" s="29">
        <f>IF($B61="","",F61*G61)</f>
        <v/>
      </c>
    </row>
    <row r="62">
      <c r="A62" s="40" t="n"/>
      <c r="B62" s="41" t="n"/>
      <c r="C62" s="42" t="n"/>
      <c r="D62" s="29">
        <f>IF($B62="","",IFERROR(INDEX(機種マスタ!$A$4:$A$203,MATCH($B62,機種マスタ!$B$4:$B$203,0)),"未登録"))</f>
        <v/>
      </c>
      <c r="E62" s="29">
        <f>IF($B62="","",IFERROR(INDEX(機種マスタ!$C$4:$C$203,MATCH($B62,機種マスタ!$B$4:$B$203,0)),"-"))</f>
        <v/>
      </c>
      <c r="F62" s="29">
        <f>IF($B62="","",IFERROR(N(INDEX(機種マスタ!$D$4:$D$203,MATCH($B62,機種マスタ!$B$4:$B$203,0))),0))</f>
        <v/>
      </c>
      <c r="G62" s="29">
        <f>IF($B62="","",IF($C62="",1,$C62))</f>
        <v/>
      </c>
      <c r="H62" s="29">
        <f>IF($B62="","",F62*G62)</f>
        <v/>
      </c>
    </row>
    <row r="63">
      <c r="A63" s="40" t="n"/>
      <c r="B63" s="41" t="n"/>
      <c r="C63" s="42" t="n"/>
      <c r="D63" s="29">
        <f>IF($B63="","",IFERROR(INDEX(機種マスタ!$A$4:$A$203,MATCH($B63,機種マスタ!$B$4:$B$203,0)),"未登録"))</f>
        <v/>
      </c>
      <c r="E63" s="29">
        <f>IF($B63="","",IFERROR(INDEX(機種マスタ!$C$4:$C$203,MATCH($B63,機種マスタ!$B$4:$B$203,0)),"-"))</f>
        <v/>
      </c>
      <c r="F63" s="29">
        <f>IF($B63="","",IFERROR(N(INDEX(機種マスタ!$D$4:$D$203,MATCH($B63,機種マスタ!$B$4:$B$203,0))),0))</f>
        <v/>
      </c>
      <c r="G63" s="29">
        <f>IF($B63="","",IF($C63="",1,$C63))</f>
        <v/>
      </c>
      <c r="H63" s="29">
        <f>IF($B63="","",F63*G63)</f>
        <v/>
      </c>
    </row>
    <row r="64">
      <c r="A64" s="40" t="n"/>
      <c r="B64" s="41" t="n"/>
      <c r="C64" s="42" t="n"/>
      <c r="D64" s="29">
        <f>IF($B64="","",IFERROR(INDEX(機種マスタ!$A$4:$A$203,MATCH($B64,機種マスタ!$B$4:$B$203,0)),"未登録"))</f>
        <v/>
      </c>
      <c r="E64" s="29">
        <f>IF($B64="","",IFERROR(INDEX(機種マスタ!$C$4:$C$203,MATCH($B64,機種マスタ!$B$4:$B$203,0)),"-"))</f>
        <v/>
      </c>
      <c r="F64" s="29">
        <f>IF($B64="","",IFERROR(N(INDEX(機種マスタ!$D$4:$D$203,MATCH($B64,機種マスタ!$B$4:$B$203,0))),0))</f>
        <v/>
      </c>
      <c r="G64" s="29">
        <f>IF($B64="","",IF($C64="",1,$C64))</f>
        <v/>
      </c>
      <c r="H64" s="29">
        <f>IF($B64="","",F64*G64)</f>
        <v/>
      </c>
    </row>
    <row r="65">
      <c r="A65" s="40" t="n"/>
      <c r="B65" s="41" t="n"/>
      <c r="C65" s="42" t="n"/>
      <c r="D65" s="29">
        <f>IF($B65="","",IFERROR(INDEX(機種マスタ!$A$4:$A$203,MATCH($B65,機種マスタ!$B$4:$B$203,0)),"未登録"))</f>
        <v/>
      </c>
      <c r="E65" s="29">
        <f>IF($B65="","",IFERROR(INDEX(機種マスタ!$C$4:$C$203,MATCH($B65,機種マスタ!$B$4:$B$203,0)),"-"))</f>
        <v/>
      </c>
      <c r="F65" s="29">
        <f>IF($B65="","",IFERROR(N(INDEX(機種マスタ!$D$4:$D$203,MATCH($B65,機種マスタ!$B$4:$B$203,0))),0))</f>
        <v/>
      </c>
      <c r="G65" s="29">
        <f>IF($B65="","",IF($C65="",1,$C65))</f>
        <v/>
      </c>
      <c r="H65" s="29">
        <f>IF($B65="","",F65*G65)</f>
        <v/>
      </c>
    </row>
    <row r="66">
      <c r="A66" s="40" t="n"/>
      <c r="B66" s="41" t="n"/>
      <c r="C66" s="42" t="n"/>
      <c r="D66" s="29">
        <f>IF($B66="","",IFERROR(INDEX(機種マスタ!$A$4:$A$203,MATCH($B66,機種マスタ!$B$4:$B$203,0)),"未登録"))</f>
        <v/>
      </c>
      <c r="E66" s="29">
        <f>IF($B66="","",IFERROR(INDEX(機種マスタ!$C$4:$C$203,MATCH($B66,機種マスタ!$B$4:$B$203,0)),"-"))</f>
        <v/>
      </c>
      <c r="F66" s="29">
        <f>IF($B66="","",IFERROR(N(INDEX(機種マスタ!$D$4:$D$203,MATCH($B66,機種マスタ!$B$4:$B$203,0))),0))</f>
        <v/>
      </c>
      <c r="G66" s="29">
        <f>IF($B66="","",IF($C66="",1,$C66))</f>
        <v/>
      </c>
      <c r="H66" s="29">
        <f>IF($B66="","",F66*G66)</f>
        <v/>
      </c>
    </row>
    <row r="67">
      <c r="A67" s="40" t="n"/>
      <c r="B67" s="41" t="n"/>
      <c r="C67" s="42" t="n"/>
      <c r="D67" s="29">
        <f>IF($B67="","",IFERROR(INDEX(機種マスタ!$A$4:$A$203,MATCH($B67,機種マスタ!$B$4:$B$203,0)),"未登録"))</f>
        <v/>
      </c>
      <c r="E67" s="29">
        <f>IF($B67="","",IFERROR(INDEX(機種マスタ!$C$4:$C$203,MATCH($B67,機種マスタ!$B$4:$B$203,0)),"-"))</f>
        <v/>
      </c>
      <c r="F67" s="29">
        <f>IF($B67="","",IFERROR(N(INDEX(機種マスタ!$D$4:$D$203,MATCH($B67,機種マスタ!$B$4:$B$203,0))),0))</f>
        <v/>
      </c>
      <c r="G67" s="29">
        <f>IF($B67="","",IF($C67="",1,$C67))</f>
        <v/>
      </c>
      <c r="H67" s="29">
        <f>IF($B67="","",F67*G67)</f>
        <v/>
      </c>
    </row>
    <row r="68">
      <c r="A68" s="40" t="n"/>
      <c r="B68" s="41" t="n"/>
      <c r="C68" s="42" t="n"/>
      <c r="D68" s="29">
        <f>IF($B68="","",IFERROR(INDEX(機種マスタ!$A$4:$A$203,MATCH($B68,機種マスタ!$B$4:$B$203,0)),"未登録"))</f>
        <v/>
      </c>
      <c r="E68" s="29">
        <f>IF($B68="","",IFERROR(INDEX(機種マスタ!$C$4:$C$203,MATCH($B68,機種マスタ!$B$4:$B$203,0)),"-"))</f>
        <v/>
      </c>
      <c r="F68" s="29">
        <f>IF($B68="","",IFERROR(N(INDEX(機種マスタ!$D$4:$D$203,MATCH($B68,機種マスタ!$B$4:$B$203,0))),0))</f>
        <v/>
      </c>
      <c r="G68" s="29">
        <f>IF($B68="","",IF($C68="",1,$C68))</f>
        <v/>
      </c>
      <c r="H68" s="29">
        <f>IF($B68="","",F68*G68)</f>
        <v/>
      </c>
    </row>
    <row r="69">
      <c r="A69" s="40" t="n"/>
      <c r="B69" s="41" t="n"/>
      <c r="C69" s="42" t="n"/>
      <c r="D69" s="29">
        <f>IF($B69="","",IFERROR(INDEX(機種マスタ!$A$4:$A$203,MATCH($B69,機種マスタ!$B$4:$B$203,0)),"未登録"))</f>
        <v/>
      </c>
      <c r="E69" s="29">
        <f>IF($B69="","",IFERROR(INDEX(機種マスタ!$C$4:$C$203,MATCH($B69,機種マスタ!$B$4:$B$203,0)),"-"))</f>
        <v/>
      </c>
      <c r="F69" s="29">
        <f>IF($B69="","",IFERROR(N(INDEX(機種マスタ!$D$4:$D$203,MATCH($B69,機種マスタ!$B$4:$B$203,0))),0))</f>
        <v/>
      </c>
      <c r="G69" s="29">
        <f>IF($B69="","",IF($C69="",1,$C69))</f>
        <v/>
      </c>
      <c r="H69" s="29">
        <f>IF($B69="","",F69*G69)</f>
        <v/>
      </c>
    </row>
    <row r="70">
      <c r="A70" s="40" t="n"/>
      <c r="B70" s="41" t="n"/>
      <c r="C70" s="42" t="n"/>
      <c r="D70" s="29">
        <f>IF($B70="","",IFERROR(INDEX(機種マスタ!$A$4:$A$203,MATCH($B70,機種マスタ!$B$4:$B$203,0)),"未登録"))</f>
        <v/>
      </c>
      <c r="E70" s="29">
        <f>IF($B70="","",IFERROR(INDEX(機種マスタ!$C$4:$C$203,MATCH($B70,機種マスタ!$B$4:$B$203,0)),"-"))</f>
        <v/>
      </c>
      <c r="F70" s="29">
        <f>IF($B70="","",IFERROR(N(INDEX(機種マスタ!$D$4:$D$203,MATCH($B70,機種マスタ!$B$4:$B$203,0))),0))</f>
        <v/>
      </c>
      <c r="G70" s="29">
        <f>IF($B70="","",IF($C70="",1,$C70))</f>
        <v/>
      </c>
      <c r="H70" s="29">
        <f>IF($B70="","",F70*G70)</f>
        <v/>
      </c>
    </row>
    <row r="71">
      <c r="A71" s="40" t="n"/>
      <c r="B71" s="41" t="n"/>
      <c r="C71" s="42" t="n"/>
      <c r="D71" s="29">
        <f>IF($B71="","",IFERROR(INDEX(機種マスタ!$A$4:$A$203,MATCH($B71,機種マスタ!$B$4:$B$203,0)),"未登録"))</f>
        <v/>
      </c>
      <c r="E71" s="29">
        <f>IF($B71="","",IFERROR(INDEX(機種マスタ!$C$4:$C$203,MATCH($B71,機種マスタ!$B$4:$B$203,0)),"-"))</f>
        <v/>
      </c>
      <c r="F71" s="29">
        <f>IF($B71="","",IFERROR(N(INDEX(機種マスタ!$D$4:$D$203,MATCH($B71,機種マスタ!$B$4:$B$203,0))),0))</f>
        <v/>
      </c>
      <c r="G71" s="29">
        <f>IF($B71="","",IF($C71="",1,$C71))</f>
        <v/>
      </c>
      <c r="H71" s="29">
        <f>IF($B71="","",F71*G71)</f>
        <v/>
      </c>
    </row>
    <row r="72">
      <c r="A72" s="40" t="n"/>
      <c r="B72" s="41" t="n"/>
      <c r="C72" s="42" t="n"/>
      <c r="D72" s="29">
        <f>IF($B72="","",IFERROR(INDEX(機種マスタ!$A$4:$A$203,MATCH($B72,機種マスタ!$B$4:$B$203,0)),"未登録"))</f>
        <v/>
      </c>
      <c r="E72" s="29">
        <f>IF($B72="","",IFERROR(INDEX(機種マスタ!$C$4:$C$203,MATCH($B72,機種マスタ!$B$4:$B$203,0)),"-"))</f>
        <v/>
      </c>
      <c r="F72" s="29">
        <f>IF($B72="","",IFERROR(N(INDEX(機種マスタ!$D$4:$D$203,MATCH($B72,機種マスタ!$B$4:$B$203,0))),0))</f>
        <v/>
      </c>
      <c r="G72" s="29">
        <f>IF($B72="","",IF($C72="",1,$C72))</f>
        <v/>
      </c>
      <c r="H72" s="29">
        <f>IF($B72="","",F72*G72)</f>
        <v/>
      </c>
    </row>
    <row r="73">
      <c r="A73" s="40" t="n"/>
      <c r="B73" s="41" t="n"/>
      <c r="C73" s="42" t="n"/>
      <c r="D73" s="29">
        <f>IF($B73="","",IFERROR(INDEX(機種マスタ!$A$4:$A$203,MATCH($B73,機種マスタ!$B$4:$B$203,0)),"未登録"))</f>
        <v/>
      </c>
      <c r="E73" s="29">
        <f>IF($B73="","",IFERROR(INDEX(機種マスタ!$C$4:$C$203,MATCH($B73,機種マスタ!$B$4:$B$203,0)),"-"))</f>
        <v/>
      </c>
      <c r="F73" s="29">
        <f>IF($B73="","",IFERROR(N(INDEX(機種マスタ!$D$4:$D$203,MATCH($B73,機種マスタ!$B$4:$B$203,0))),0))</f>
        <v/>
      </c>
      <c r="G73" s="29">
        <f>IF($B73="","",IF($C73="",1,$C73))</f>
        <v/>
      </c>
      <c r="H73" s="29">
        <f>IF($B73="","",F73*G73)</f>
        <v/>
      </c>
    </row>
    <row r="74">
      <c r="A74" s="40" t="n"/>
      <c r="B74" s="41" t="n"/>
      <c r="C74" s="42" t="n"/>
      <c r="D74" s="29">
        <f>IF($B74="","",IFERROR(INDEX(機種マスタ!$A$4:$A$203,MATCH($B74,機種マスタ!$B$4:$B$203,0)),"未登録"))</f>
        <v/>
      </c>
      <c r="E74" s="29">
        <f>IF($B74="","",IFERROR(INDEX(機種マスタ!$C$4:$C$203,MATCH($B74,機種マスタ!$B$4:$B$203,0)),"-"))</f>
        <v/>
      </c>
      <c r="F74" s="29">
        <f>IF($B74="","",IFERROR(N(INDEX(機種マスタ!$D$4:$D$203,MATCH($B74,機種マスタ!$B$4:$B$203,0))),0))</f>
        <v/>
      </c>
      <c r="G74" s="29">
        <f>IF($B74="","",IF($C74="",1,$C74))</f>
        <v/>
      </c>
      <c r="H74" s="29">
        <f>IF($B74="","",F74*G74)</f>
        <v/>
      </c>
    </row>
    <row r="75">
      <c r="A75" s="40" t="n"/>
      <c r="B75" s="41" t="n"/>
      <c r="C75" s="42" t="n"/>
      <c r="D75" s="29">
        <f>IF($B75="","",IFERROR(INDEX(機種マスタ!$A$4:$A$203,MATCH($B75,機種マスタ!$B$4:$B$203,0)),"未登録"))</f>
        <v/>
      </c>
      <c r="E75" s="29">
        <f>IF($B75="","",IFERROR(INDEX(機種マスタ!$C$4:$C$203,MATCH($B75,機種マスタ!$B$4:$B$203,0)),"-"))</f>
        <v/>
      </c>
      <c r="F75" s="29">
        <f>IF($B75="","",IFERROR(N(INDEX(機種マスタ!$D$4:$D$203,MATCH($B75,機種マスタ!$B$4:$B$203,0))),0))</f>
        <v/>
      </c>
      <c r="G75" s="29">
        <f>IF($B75="","",IF($C75="",1,$C75))</f>
        <v/>
      </c>
      <c r="H75" s="29">
        <f>IF($B75="","",F75*G75)</f>
        <v/>
      </c>
    </row>
    <row r="76">
      <c r="A76" s="40" t="n"/>
      <c r="B76" s="41" t="n"/>
      <c r="C76" s="42" t="n"/>
      <c r="D76" s="29">
        <f>IF($B76="","",IFERROR(INDEX(機種マスタ!$A$4:$A$203,MATCH($B76,機種マスタ!$B$4:$B$203,0)),"未登録"))</f>
        <v/>
      </c>
      <c r="E76" s="29">
        <f>IF($B76="","",IFERROR(INDEX(機種マスタ!$C$4:$C$203,MATCH($B76,機種マスタ!$B$4:$B$203,0)),"-"))</f>
        <v/>
      </c>
      <c r="F76" s="29">
        <f>IF($B76="","",IFERROR(N(INDEX(機種マスタ!$D$4:$D$203,MATCH($B76,機種マスタ!$B$4:$B$203,0))),0))</f>
        <v/>
      </c>
      <c r="G76" s="29">
        <f>IF($B76="","",IF($C76="",1,$C76))</f>
        <v/>
      </c>
      <c r="H76" s="29">
        <f>IF($B76="","",F76*G76)</f>
        <v/>
      </c>
    </row>
    <row r="77">
      <c r="A77" s="40" t="n"/>
      <c r="B77" s="41" t="n"/>
      <c r="C77" s="42" t="n"/>
      <c r="D77" s="29">
        <f>IF($B77="","",IFERROR(INDEX(機種マスタ!$A$4:$A$203,MATCH($B77,機種マスタ!$B$4:$B$203,0)),"未登録"))</f>
        <v/>
      </c>
      <c r="E77" s="29">
        <f>IF($B77="","",IFERROR(INDEX(機種マスタ!$C$4:$C$203,MATCH($B77,機種マスタ!$B$4:$B$203,0)),"-"))</f>
        <v/>
      </c>
      <c r="F77" s="29">
        <f>IF($B77="","",IFERROR(N(INDEX(機種マスタ!$D$4:$D$203,MATCH($B77,機種マスタ!$B$4:$B$203,0))),0))</f>
        <v/>
      </c>
      <c r="G77" s="29">
        <f>IF($B77="","",IF($C77="",1,$C77))</f>
        <v/>
      </c>
      <c r="H77" s="29">
        <f>IF($B77="","",F77*G77)</f>
        <v/>
      </c>
    </row>
    <row r="78">
      <c r="A78" s="40" t="n"/>
      <c r="B78" s="41" t="n"/>
      <c r="C78" s="42" t="n"/>
      <c r="D78" s="29">
        <f>IF($B78="","",IFERROR(INDEX(機種マスタ!$A$4:$A$203,MATCH($B78,機種マスタ!$B$4:$B$203,0)),"未登録"))</f>
        <v/>
      </c>
      <c r="E78" s="29">
        <f>IF($B78="","",IFERROR(INDEX(機種マスタ!$C$4:$C$203,MATCH($B78,機種マスタ!$B$4:$B$203,0)),"-"))</f>
        <v/>
      </c>
      <c r="F78" s="29">
        <f>IF($B78="","",IFERROR(N(INDEX(機種マスタ!$D$4:$D$203,MATCH($B78,機種マスタ!$B$4:$B$203,0))),0))</f>
        <v/>
      </c>
      <c r="G78" s="29">
        <f>IF($B78="","",IF($C78="",1,$C78))</f>
        <v/>
      </c>
      <c r="H78" s="29">
        <f>IF($B78="","",F78*G78)</f>
        <v/>
      </c>
    </row>
    <row r="79">
      <c r="A79" s="40" t="n"/>
      <c r="B79" s="41" t="n"/>
      <c r="C79" s="42" t="n"/>
      <c r="D79" s="29">
        <f>IF($B79="","",IFERROR(INDEX(機種マスタ!$A$4:$A$203,MATCH($B79,機種マスタ!$B$4:$B$203,0)),"未登録"))</f>
        <v/>
      </c>
      <c r="E79" s="29">
        <f>IF($B79="","",IFERROR(INDEX(機種マスタ!$C$4:$C$203,MATCH($B79,機種マスタ!$B$4:$B$203,0)),"-"))</f>
        <v/>
      </c>
      <c r="F79" s="29">
        <f>IF($B79="","",IFERROR(N(INDEX(機種マスタ!$D$4:$D$203,MATCH($B79,機種マスタ!$B$4:$B$203,0))),0))</f>
        <v/>
      </c>
      <c r="G79" s="29">
        <f>IF($B79="","",IF($C79="",1,$C79))</f>
        <v/>
      </c>
      <c r="H79" s="29">
        <f>IF($B79="","",F79*G79)</f>
        <v/>
      </c>
    </row>
    <row r="80">
      <c r="A80" s="40" t="n"/>
      <c r="B80" s="41" t="n"/>
      <c r="C80" s="42" t="n"/>
      <c r="D80" s="29">
        <f>IF($B80="","",IFERROR(INDEX(機種マスタ!$A$4:$A$203,MATCH($B80,機種マスタ!$B$4:$B$203,0)),"未登録"))</f>
        <v/>
      </c>
      <c r="E80" s="29">
        <f>IF($B80="","",IFERROR(INDEX(機種マスタ!$C$4:$C$203,MATCH($B80,機種マスタ!$B$4:$B$203,0)),"-"))</f>
        <v/>
      </c>
      <c r="F80" s="29">
        <f>IF($B80="","",IFERROR(N(INDEX(機種マスタ!$D$4:$D$203,MATCH($B80,機種マスタ!$B$4:$B$203,0))),0))</f>
        <v/>
      </c>
      <c r="G80" s="29">
        <f>IF($B80="","",IF($C80="",1,$C80))</f>
        <v/>
      </c>
      <c r="H80" s="29">
        <f>IF($B80="","",F80*G80)</f>
        <v/>
      </c>
    </row>
    <row r="81">
      <c r="A81" s="40" t="n"/>
      <c r="B81" s="41" t="n"/>
      <c r="C81" s="42" t="n"/>
      <c r="D81" s="29">
        <f>IF($B81="","",IFERROR(INDEX(機種マスタ!$A$4:$A$203,MATCH($B81,機種マスタ!$B$4:$B$203,0)),"未登録"))</f>
        <v/>
      </c>
      <c r="E81" s="29">
        <f>IF($B81="","",IFERROR(INDEX(機種マスタ!$C$4:$C$203,MATCH($B81,機種マスタ!$B$4:$B$203,0)),"-"))</f>
        <v/>
      </c>
      <c r="F81" s="29">
        <f>IF($B81="","",IFERROR(N(INDEX(機種マスタ!$D$4:$D$203,MATCH($B81,機種マスタ!$B$4:$B$203,0))),0))</f>
        <v/>
      </c>
      <c r="G81" s="29">
        <f>IF($B81="","",IF($C81="",1,$C81))</f>
        <v/>
      </c>
      <c r="H81" s="29">
        <f>IF($B81="","",F81*G81)</f>
        <v/>
      </c>
    </row>
    <row r="82">
      <c r="A82" s="40" t="n"/>
      <c r="B82" s="41" t="n"/>
      <c r="C82" s="42" t="n"/>
      <c r="D82" s="29">
        <f>IF($B82="","",IFERROR(INDEX(機種マスタ!$A$4:$A$203,MATCH($B82,機種マスタ!$B$4:$B$203,0)),"未登録"))</f>
        <v/>
      </c>
      <c r="E82" s="29">
        <f>IF($B82="","",IFERROR(INDEX(機種マスタ!$C$4:$C$203,MATCH($B82,機種マスタ!$B$4:$B$203,0)),"-"))</f>
        <v/>
      </c>
      <c r="F82" s="29">
        <f>IF($B82="","",IFERROR(N(INDEX(機種マスタ!$D$4:$D$203,MATCH($B82,機種マスタ!$B$4:$B$203,0))),0))</f>
        <v/>
      </c>
      <c r="G82" s="29">
        <f>IF($B82="","",IF($C82="",1,$C82))</f>
        <v/>
      </c>
      <c r="H82" s="29">
        <f>IF($B82="","",F82*G82)</f>
        <v/>
      </c>
    </row>
    <row r="83">
      <c r="A83" s="40" t="n"/>
      <c r="B83" s="41" t="n"/>
      <c r="C83" s="42" t="n"/>
      <c r="D83" s="29">
        <f>IF($B83="","",IFERROR(INDEX(機種マスタ!$A$4:$A$203,MATCH($B83,機種マスタ!$B$4:$B$203,0)),"未登録"))</f>
        <v/>
      </c>
      <c r="E83" s="29">
        <f>IF($B83="","",IFERROR(INDEX(機種マスタ!$C$4:$C$203,MATCH($B83,機種マスタ!$B$4:$B$203,0)),"-"))</f>
        <v/>
      </c>
      <c r="F83" s="29">
        <f>IF($B83="","",IFERROR(N(INDEX(機種マスタ!$D$4:$D$203,MATCH($B83,機種マスタ!$B$4:$B$203,0))),0))</f>
        <v/>
      </c>
      <c r="G83" s="29">
        <f>IF($B83="","",IF($C83="",1,$C83))</f>
        <v/>
      </c>
      <c r="H83" s="29">
        <f>IF($B83="","",F83*G83)</f>
        <v/>
      </c>
    </row>
    <row r="84">
      <c r="A84" s="40" t="n"/>
      <c r="B84" s="41" t="n"/>
      <c r="C84" s="42" t="n"/>
      <c r="D84" s="29">
        <f>IF($B84="","",IFERROR(INDEX(機種マスタ!$A$4:$A$203,MATCH($B84,機種マスタ!$B$4:$B$203,0)),"未登録"))</f>
        <v/>
      </c>
      <c r="E84" s="29">
        <f>IF($B84="","",IFERROR(INDEX(機種マスタ!$C$4:$C$203,MATCH($B84,機種マスタ!$B$4:$B$203,0)),"-"))</f>
        <v/>
      </c>
      <c r="F84" s="29">
        <f>IF($B84="","",IFERROR(N(INDEX(機種マスタ!$D$4:$D$203,MATCH($B84,機種マスタ!$B$4:$B$203,0))),0))</f>
        <v/>
      </c>
      <c r="G84" s="29">
        <f>IF($B84="","",IF($C84="",1,$C84))</f>
        <v/>
      </c>
      <c r="H84" s="29">
        <f>IF($B84="","",F84*G84)</f>
        <v/>
      </c>
    </row>
    <row r="85">
      <c r="A85" s="40" t="n"/>
      <c r="B85" s="41" t="n"/>
      <c r="C85" s="42" t="n"/>
      <c r="D85" s="29">
        <f>IF($B85="","",IFERROR(INDEX(機種マスタ!$A$4:$A$203,MATCH($B85,機種マスタ!$B$4:$B$203,0)),"未登録"))</f>
        <v/>
      </c>
      <c r="E85" s="29">
        <f>IF($B85="","",IFERROR(INDEX(機種マスタ!$C$4:$C$203,MATCH($B85,機種マスタ!$B$4:$B$203,0)),"-"))</f>
        <v/>
      </c>
      <c r="F85" s="29">
        <f>IF($B85="","",IFERROR(N(INDEX(機種マスタ!$D$4:$D$203,MATCH($B85,機種マスタ!$B$4:$B$203,0))),0))</f>
        <v/>
      </c>
      <c r="G85" s="29">
        <f>IF($B85="","",IF($C85="",1,$C85))</f>
        <v/>
      </c>
      <c r="H85" s="29">
        <f>IF($B85="","",F85*G85)</f>
        <v/>
      </c>
    </row>
    <row r="86">
      <c r="A86" s="40" t="n"/>
      <c r="B86" s="41" t="n"/>
      <c r="C86" s="42" t="n"/>
      <c r="D86" s="29">
        <f>IF($B86="","",IFERROR(INDEX(機種マスタ!$A$4:$A$203,MATCH($B86,機種マスタ!$B$4:$B$203,0)),"未登録"))</f>
        <v/>
      </c>
      <c r="E86" s="29">
        <f>IF($B86="","",IFERROR(INDEX(機種マスタ!$C$4:$C$203,MATCH($B86,機種マスタ!$B$4:$B$203,0)),"-"))</f>
        <v/>
      </c>
      <c r="F86" s="29">
        <f>IF($B86="","",IFERROR(N(INDEX(機種マスタ!$D$4:$D$203,MATCH($B86,機種マスタ!$B$4:$B$203,0))),0))</f>
        <v/>
      </c>
      <c r="G86" s="29">
        <f>IF($B86="","",IF($C86="",1,$C86))</f>
        <v/>
      </c>
      <c r="H86" s="29">
        <f>IF($B86="","",F86*G86)</f>
        <v/>
      </c>
    </row>
    <row r="87">
      <c r="A87" s="40" t="n"/>
      <c r="B87" s="41" t="n"/>
      <c r="C87" s="42" t="n"/>
      <c r="D87" s="29">
        <f>IF($B87="","",IFERROR(INDEX(機種マスタ!$A$4:$A$203,MATCH($B87,機種マスタ!$B$4:$B$203,0)),"未登録"))</f>
        <v/>
      </c>
      <c r="E87" s="29">
        <f>IF($B87="","",IFERROR(INDEX(機種マスタ!$C$4:$C$203,MATCH($B87,機種マスタ!$B$4:$B$203,0)),"-"))</f>
        <v/>
      </c>
      <c r="F87" s="29">
        <f>IF($B87="","",IFERROR(N(INDEX(機種マスタ!$D$4:$D$203,MATCH($B87,機種マスタ!$B$4:$B$203,0))),0))</f>
        <v/>
      </c>
      <c r="G87" s="29">
        <f>IF($B87="","",IF($C87="",1,$C87))</f>
        <v/>
      </c>
      <c r="H87" s="29">
        <f>IF($B87="","",F87*G87)</f>
        <v/>
      </c>
    </row>
    <row r="88">
      <c r="A88" s="40" t="n"/>
      <c r="B88" s="41" t="n"/>
      <c r="C88" s="42" t="n"/>
      <c r="D88" s="29">
        <f>IF($B88="","",IFERROR(INDEX(機種マスタ!$A$4:$A$203,MATCH($B88,機種マスタ!$B$4:$B$203,0)),"未登録"))</f>
        <v/>
      </c>
      <c r="E88" s="29">
        <f>IF($B88="","",IFERROR(INDEX(機種マスタ!$C$4:$C$203,MATCH($B88,機種マスタ!$B$4:$B$203,0)),"-"))</f>
        <v/>
      </c>
      <c r="F88" s="29">
        <f>IF($B88="","",IFERROR(N(INDEX(機種マスタ!$D$4:$D$203,MATCH($B88,機種マスタ!$B$4:$B$203,0))),0))</f>
        <v/>
      </c>
      <c r="G88" s="29">
        <f>IF($B88="","",IF($C88="",1,$C88))</f>
        <v/>
      </c>
      <c r="H88" s="29">
        <f>IF($B88="","",F88*G88)</f>
        <v/>
      </c>
    </row>
    <row r="89">
      <c r="A89" s="40" t="n"/>
      <c r="B89" s="41" t="n"/>
      <c r="C89" s="42" t="n"/>
      <c r="D89" s="29">
        <f>IF($B89="","",IFERROR(INDEX(機種マスタ!$A$4:$A$203,MATCH($B89,機種マスタ!$B$4:$B$203,0)),"未登録"))</f>
        <v/>
      </c>
      <c r="E89" s="29">
        <f>IF($B89="","",IFERROR(INDEX(機種マスタ!$C$4:$C$203,MATCH($B89,機種マスタ!$B$4:$B$203,0)),"-"))</f>
        <v/>
      </c>
      <c r="F89" s="29">
        <f>IF($B89="","",IFERROR(N(INDEX(機種マスタ!$D$4:$D$203,MATCH($B89,機種マスタ!$B$4:$B$203,0))),0))</f>
        <v/>
      </c>
      <c r="G89" s="29">
        <f>IF($B89="","",IF($C89="",1,$C89))</f>
        <v/>
      </c>
      <c r="H89" s="29">
        <f>IF($B89="","",F89*G89)</f>
        <v/>
      </c>
    </row>
    <row r="90">
      <c r="A90" s="40" t="n"/>
      <c r="B90" s="41" t="n"/>
      <c r="C90" s="42" t="n"/>
      <c r="D90" s="29">
        <f>IF($B90="","",IFERROR(INDEX(機種マスタ!$A$4:$A$203,MATCH($B90,機種マスタ!$B$4:$B$203,0)),"未登録"))</f>
        <v/>
      </c>
      <c r="E90" s="29">
        <f>IF($B90="","",IFERROR(INDEX(機種マスタ!$C$4:$C$203,MATCH($B90,機種マスタ!$B$4:$B$203,0)),"-"))</f>
        <v/>
      </c>
      <c r="F90" s="29">
        <f>IF($B90="","",IFERROR(N(INDEX(機種マスタ!$D$4:$D$203,MATCH($B90,機種マスタ!$B$4:$B$203,0))),0))</f>
        <v/>
      </c>
      <c r="G90" s="29">
        <f>IF($B90="","",IF($C90="",1,$C90))</f>
        <v/>
      </c>
      <c r="H90" s="29">
        <f>IF($B90="","",F90*G90)</f>
        <v/>
      </c>
    </row>
    <row r="91">
      <c r="A91" s="40" t="n"/>
      <c r="B91" s="41" t="n"/>
      <c r="C91" s="42" t="n"/>
      <c r="D91" s="29">
        <f>IF($B91="","",IFERROR(INDEX(機種マスタ!$A$4:$A$203,MATCH($B91,機種マスタ!$B$4:$B$203,0)),"未登録"))</f>
        <v/>
      </c>
      <c r="E91" s="29">
        <f>IF($B91="","",IFERROR(INDEX(機種マスタ!$C$4:$C$203,MATCH($B91,機種マスタ!$B$4:$B$203,0)),"-"))</f>
        <v/>
      </c>
      <c r="F91" s="29">
        <f>IF($B91="","",IFERROR(N(INDEX(機種マスタ!$D$4:$D$203,MATCH($B91,機種マスタ!$B$4:$B$203,0))),0))</f>
        <v/>
      </c>
      <c r="G91" s="29">
        <f>IF($B91="","",IF($C91="",1,$C91))</f>
        <v/>
      </c>
      <c r="H91" s="29">
        <f>IF($B91="","",F91*G91)</f>
        <v/>
      </c>
    </row>
    <row r="92">
      <c r="A92" s="40" t="n"/>
      <c r="B92" s="41" t="n"/>
      <c r="C92" s="42" t="n"/>
      <c r="D92" s="29">
        <f>IF($B92="","",IFERROR(INDEX(機種マスタ!$A$4:$A$203,MATCH($B92,機種マスタ!$B$4:$B$203,0)),"未登録"))</f>
        <v/>
      </c>
      <c r="E92" s="29">
        <f>IF($B92="","",IFERROR(INDEX(機種マスタ!$C$4:$C$203,MATCH($B92,機種マスタ!$B$4:$B$203,0)),"-"))</f>
        <v/>
      </c>
      <c r="F92" s="29">
        <f>IF($B92="","",IFERROR(N(INDEX(機種マスタ!$D$4:$D$203,MATCH($B92,機種マスタ!$B$4:$B$203,0))),0))</f>
        <v/>
      </c>
      <c r="G92" s="29">
        <f>IF($B92="","",IF($C92="",1,$C92))</f>
        <v/>
      </c>
      <c r="H92" s="29">
        <f>IF($B92="","",F92*G92)</f>
        <v/>
      </c>
    </row>
    <row r="93">
      <c r="A93" s="40" t="n"/>
      <c r="B93" s="41" t="n"/>
      <c r="C93" s="42" t="n"/>
      <c r="D93" s="29">
        <f>IF($B93="","",IFERROR(INDEX(機種マスタ!$A$4:$A$203,MATCH($B93,機種マスタ!$B$4:$B$203,0)),"未登録"))</f>
        <v/>
      </c>
      <c r="E93" s="29">
        <f>IF($B93="","",IFERROR(INDEX(機種マスタ!$C$4:$C$203,MATCH($B93,機種マスタ!$B$4:$B$203,0)),"-"))</f>
        <v/>
      </c>
      <c r="F93" s="29">
        <f>IF($B93="","",IFERROR(N(INDEX(機種マスタ!$D$4:$D$203,MATCH($B93,機種マスタ!$B$4:$B$203,0))),0))</f>
        <v/>
      </c>
      <c r="G93" s="29">
        <f>IF($B93="","",IF($C93="",1,$C93))</f>
        <v/>
      </c>
      <c r="H93" s="29">
        <f>IF($B93="","",F93*G93)</f>
        <v/>
      </c>
    </row>
    <row r="94">
      <c r="A94" s="40" t="n"/>
      <c r="B94" s="41" t="n"/>
      <c r="C94" s="42" t="n"/>
      <c r="D94" s="29">
        <f>IF($B94="","",IFERROR(INDEX(機種マスタ!$A$4:$A$203,MATCH($B94,機種マスタ!$B$4:$B$203,0)),"未登録"))</f>
        <v/>
      </c>
      <c r="E94" s="29">
        <f>IF($B94="","",IFERROR(INDEX(機種マスタ!$C$4:$C$203,MATCH($B94,機種マスタ!$B$4:$B$203,0)),"-"))</f>
        <v/>
      </c>
      <c r="F94" s="29">
        <f>IF($B94="","",IFERROR(N(INDEX(機種マスタ!$D$4:$D$203,MATCH($B94,機種マスタ!$B$4:$B$203,0))),0))</f>
        <v/>
      </c>
      <c r="G94" s="29">
        <f>IF($B94="","",IF($C94="",1,$C94))</f>
        <v/>
      </c>
      <c r="H94" s="29">
        <f>IF($B94="","",F94*G94)</f>
        <v/>
      </c>
    </row>
    <row r="95">
      <c r="A95" s="40" t="n"/>
      <c r="B95" s="41" t="n"/>
      <c r="C95" s="42" t="n"/>
      <c r="D95" s="29">
        <f>IF($B95="","",IFERROR(INDEX(機種マスタ!$A$4:$A$203,MATCH($B95,機種マスタ!$B$4:$B$203,0)),"未登録"))</f>
        <v/>
      </c>
      <c r="E95" s="29">
        <f>IF($B95="","",IFERROR(INDEX(機種マスタ!$C$4:$C$203,MATCH($B95,機種マスタ!$B$4:$B$203,0)),"-"))</f>
        <v/>
      </c>
      <c r="F95" s="29">
        <f>IF($B95="","",IFERROR(N(INDEX(機種マスタ!$D$4:$D$203,MATCH($B95,機種マスタ!$B$4:$B$203,0))),0))</f>
        <v/>
      </c>
      <c r="G95" s="29">
        <f>IF($B95="","",IF($C95="",1,$C95))</f>
        <v/>
      </c>
      <c r="H95" s="29">
        <f>IF($B95="","",F95*G95)</f>
        <v/>
      </c>
    </row>
    <row r="96">
      <c r="A96" s="40" t="n"/>
      <c r="B96" s="41" t="n"/>
      <c r="C96" s="42" t="n"/>
      <c r="D96" s="29">
        <f>IF($B96="","",IFERROR(INDEX(機種マスタ!$A$4:$A$203,MATCH($B96,機種マスタ!$B$4:$B$203,0)),"未登録"))</f>
        <v/>
      </c>
      <c r="E96" s="29">
        <f>IF($B96="","",IFERROR(INDEX(機種マスタ!$C$4:$C$203,MATCH($B96,機種マスタ!$B$4:$B$203,0)),"-"))</f>
        <v/>
      </c>
      <c r="F96" s="29">
        <f>IF($B96="","",IFERROR(N(INDEX(機種マスタ!$D$4:$D$203,MATCH($B96,機種マスタ!$B$4:$B$203,0))),0))</f>
        <v/>
      </c>
      <c r="G96" s="29">
        <f>IF($B96="","",IF($C96="",1,$C96))</f>
        <v/>
      </c>
      <c r="H96" s="29">
        <f>IF($B96="","",F96*G96)</f>
        <v/>
      </c>
    </row>
    <row r="97">
      <c r="A97" s="40" t="n"/>
      <c r="B97" s="41" t="n"/>
      <c r="C97" s="42" t="n"/>
      <c r="D97" s="29">
        <f>IF($B97="","",IFERROR(INDEX(機種マスタ!$A$4:$A$203,MATCH($B97,機種マスタ!$B$4:$B$203,0)),"未登録"))</f>
        <v/>
      </c>
      <c r="E97" s="29">
        <f>IF($B97="","",IFERROR(INDEX(機種マスタ!$C$4:$C$203,MATCH($B97,機種マスタ!$B$4:$B$203,0)),"-"))</f>
        <v/>
      </c>
      <c r="F97" s="29">
        <f>IF($B97="","",IFERROR(N(INDEX(機種マスタ!$D$4:$D$203,MATCH($B97,機種マスタ!$B$4:$B$203,0))),0))</f>
        <v/>
      </c>
      <c r="G97" s="29">
        <f>IF($B97="","",IF($C97="",1,$C97))</f>
        <v/>
      </c>
      <c r="H97" s="29">
        <f>IF($B97="","",F97*G97)</f>
        <v/>
      </c>
    </row>
    <row r="98">
      <c r="A98" s="40" t="n"/>
      <c r="B98" s="41" t="n"/>
      <c r="C98" s="42" t="n"/>
      <c r="D98" s="29">
        <f>IF($B98="","",IFERROR(INDEX(機種マスタ!$A$4:$A$203,MATCH($B98,機種マスタ!$B$4:$B$203,0)),"未登録"))</f>
        <v/>
      </c>
      <c r="E98" s="29">
        <f>IF($B98="","",IFERROR(INDEX(機種マスタ!$C$4:$C$203,MATCH($B98,機種マスタ!$B$4:$B$203,0)),"-"))</f>
        <v/>
      </c>
      <c r="F98" s="29">
        <f>IF($B98="","",IFERROR(N(INDEX(機種マスタ!$D$4:$D$203,MATCH($B98,機種マスタ!$B$4:$B$203,0))),0))</f>
        <v/>
      </c>
      <c r="G98" s="29">
        <f>IF($B98="","",IF($C98="",1,$C98))</f>
        <v/>
      </c>
      <c r="H98" s="29">
        <f>IF($B98="","",F98*G98)</f>
        <v/>
      </c>
    </row>
    <row r="99">
      <c r="A99" s="40" t="n"/>
      <c r="B99" s="41" t="n"/>
      <c r="C99" s="42" t="n"/>
      <c r="D99" s="29">
        <f>IF($B99="","",IFERROR(INDEX(機種マスタ!$A$4:$A$203,MATCH($B99,機種マスタ!$B$4:$B$203,0)),"未登録"))</f>
        <v/>
      </c>
      <c r="E99" s="29">
        <f>IF($B99="","",IFERROR(INDEX(機種マスタ!$C$4:$C$203,MATCH($B99,機種マスタ!$B$4:$B$203,0)),"-"))</f>
        <v/>
      </c>
      <c r="F99" s="29">
        <f>IF($B99="","",IFERROR(N(INDEX(機種マスタ!$D$4:$D$203,MATCH($B99,機種マスタ!$B$4:$B$203,0))),0))</f>
        <v/>
      </c>
      <c r="G99" s="29">
        <f>IF($B99="","",IF($C99="",1,$C99))</f>
        <v/>
      </c>
      <c r="H99" s="29">
        <f>IF($B99="","",F99*G99)</f>
        <v/>
      </c>
    </row>
    <row r="100">
      <c r="A100" s="40" t="n"/>
      <c r="B100" s="41" t="n"/>
      <c r="C100" s="42" t="n"/>
      <c r="D100" s="29">
        <f>IF($B100="","",IFERROR(INDEX(機種マスタ!$A$4:$A$203,MATCH($B100,機種マスタ!$B$4:$B$203,0)),"未登録"))</f>
        <v/>
      </c>
      <c r="E100" s="29">
        <f>IF($B100="","",IFERROR(INDEX(機種マスタ!$C$4:$C$203,MATCH($B100,機種マスタ!$B$4:$B$203,0)),"-"))</f>
        <v/>
      </c>
      <c r="F100" s="29">
        <f>IF($B100="","",IFERROR(N(INDEX(機種マスタ!$D$4:$D$203,MATCH($B100,機種マスタ!$B$4:$B$203,0))),0))</f>
        <v/>
      </c>
      <c r="G100" s="29">
        <f>IF($B100="","",IF($C100="",1,$C100))</f>
        <v/>
      </c>
      <c r="H100" s="29">
        <f>IF($B100="","",F100*G100)</f>
        <v/>
      </c>
    </row>
    <row r="101">
      <c r="A101" s="40" t="n"/>
      <c r="B101" s="41" t="n"/>
      <c r="C101" s="42" t="n"/>
      <c r="D101" s="29">
        <f>IF($B101="","",IFERROR(INDEX(機種マスタ!$A$4:$A$203,MATCH($B101,機種マスタ!$B$4:$B$203,0)),"未登録"))</f>
        <v/>
      </c>
      <c r="E101" s="29">
        <f>IF($B101="","",IFERROR(INDEX(機種マスタ!$C$4:$C$203,MATCH($B101,機種マスタ!$B$4:$B$203,0)),"-"))</f>
        <v/>
      </c>
      <c r="F101" s="29">
        <f>IF($B101="","",IFERROR(N(INDEX(機種マスタ!$D$4:$D$203,MATCH($B101,機種マスタ!$B$4:$B$203,0))),0))</f>
        <v/>
      </c>
      <c r="G101" s="29">
        <f>IF($B101="","",IF($C101="",1,$C101))</f>
        <v/>
      </c>
      <c r="H101" s="29">
        <f>IF($B101="","",F101*G101)</f>
        <v/>
      </c>
    </row>
    <row r="102">
      <c r="A102" s="40" t="n"/>
      <c r="B102" s="41" t="n"/>
      <c r="C102" s="42" t="n"/>
      <c r="D102" s="29">
        <f>IF($B102="","",IFERROR(INDEX(機種マスタ!$A$4:$A$203,MATCH($B102,機種マスタ!$B$4:$B$203,0)),"未登録"))</f>
        <v/>
      </c>
      <c r="E102" s="29">
        <f>IF($B102="","",IFERROR(INDEX(機種マスタ!$C$4:$C$203,MATCH($B102,機種マスタ!$B$4:$B$203,0)),"-"))</f>
        <v/>
      </c>
      <c r="F102" s="29">
        <f>IF($B102="","",IFERROR(N(INDEX(機種マスタ!$D$4:$D$203,MATCH($B102,機種マスタ!$B$4:$B$203,0))),0))</f>
        <v/>
      </c>
      <c r="G102" s="29">
        <f>IF($B102="","",IF($C102="",1,$C102))</f>
        <v/>
      </c>
      <c r="H102" s="29">
        <f>IF($B102="","",F102*G102)</f>
        <v/>
      </c>
    </row>
    <row r="103">
      <c r="A103" s="40" t="n"/>
      <c r="B103" s="41" t="n"/>
      <c r="C103" s="42" t="n"/>
      <c r="D103" s="29">
        <f>IF($B103="","",IFERROR(INDEX(機種マスタ!$A$4:$A$203,MATCH($B103,機種マスタ!$B$4:$B$203,0)),"未登録"))</f>
        <v/>
      </c>
      <c r="E103" s="29">
        <f>IF($B103="","",IFERROR(INDEX(機種マスタ!$C$4:$C$203,MATCH($B103,機種マスタ!$B$4:$B$203,0)),"-"))</f>
        <v/>
      </c>
      <c r="F103" s="29">
        <f>IF($B103="","",IFERROR(N(INDEX(機種マスタ!$D$4:$D$203,MATCH($B103,機種マスタ!$B$4:$B$203,0))),0))</f>
        <v/>
      </c>
      <c r="G103" s="29">
        <f>IF($B103="","",IF($C103="",1,$C103))</f>
        <v/>
      </c>
      <c r="H103" s="29">
        <f>IF($B103="","",F103*G103)</f>
        <v/>
      </c>
    </row>
    <row r="104">
      <c r="A104" s="40" t="n"/>
      <c r="B104" s="41" t="n"/>
      <c r="C104" s="42" t="n"/>
      <c r="D104" s="29">
        <f>IF($B104="","",IFERROR(INDEX(機種マスタ!$A$4:$A$203,MATCH($B104,機種マスタ!$B$4:$B$203,0)),"未登録"))</f>
        <v/>
      </c>
      <c r="E104" s="29">
        <f>IF($B104="","",IFERROR(INDEX(機種マスタ!$C$4:$C$203,MATCH($B104,機種マスタ!$B$4:$B$203,0)),"-"))</f>
        <v/>
      </c>
      <c r="F104" s="29">
        <f>IF($B104="","",IFERROR(N(INDEX(機種マスタ!$D$4:$D$203,MATCH($B104,機種マスタ!$B$4:$B$203,0))),0))</f>
        <v/>
      </c>
      <c r="G104" s="29">
        <f>IF($B104="","",IF($C104="",1,$C104))</f>
        <v/>
      </c>
      <c r="H104" s="29">
        <f>IF($B104="","",F104*G104)</f>
        <v/>
      </c>
    </row>
    <row r="105">
      <c r="A105" s="40" t="n"/>
      <c r="B105" s="41" t="n"/>
      <c r="C105" s="42" t="n"/>
      <c r="D105" s="29">
        <f>IF($B105="","",IFERROR(INDEX(機種マスタ!$A$4:$A$203,MATCH($B105,機種マスタ!$B$4:$B$203,0)),"未登録"))</f>
        <v/>
      </c>
      <c r="E105" s="29">
        <f>IF($B105="","",IFERROR(INDEX(機種マスタ!$C$4:$C$203,MATCH($B105,機種マスタ!$B$4:$B$203,0)),"-"))</f>
        <v/>
      </c>
      <c r="F105" s="29">
        <f>IF($B105="","",IFERROR(N(INDEX(機種マスタ!$D$4:$D$203,MATCH($B105,機種マスタ!$B$4:$B$203,0))),0))</f>
        <v/>
      </c>
      <c r="G105" s="29">
        <f>IF($B105="","",IF($C105="",1,$C105))</f>
        <v/>
      </c>
      <c r="H105" s="29">
        <f>IF($B105="","",F105*G105)</f>
        <v/>
      </c>
    </row>
    <row r="106">
      <c r="A106" s="40" t="n"/>
      <c r="B106" s="41" t="n"/>
      <c r="C106" s="42" t="n"/>
      <c r="D106" s="29">
        <f>IF($B106="","",IFERROR(INDEX(機種マスタ!$A$4:$A$203,MATCH($B106,機種マスタ!$B$4:$B$203,0)),"未登録"))</f>
        <v/>
      </c>
      <c r="E106" s="29">
        <f>IF($B106="","",IFERROR(INDEX(機種マスタ!$C$4:$C$203,MATCH($B106,機種マスタ!$B$4:$B$203,0)),"-"))</f>
        <v/>
      </c>
      <c r="F106" s="29">
        <f>IF($B106="","",IFERROR(N(INDEX(機種マスタ!$D$4:$D$203,MATCH($B106,機種マスタ!$B$4:$B$203,0))),0))</f>
        <v/>
      </c>
      <c r="G106" s="29">
        <f>IF($B106="","",IF($C106="",1,$C106))</f>
        <v/>
      </c>
      <c r="H106" s="29">
        <f>IF($B106="","",F106*G106)</f>
        <v/>
      </c>
    </row>
    <row r="107">
      <c r="A107" s="40" t="n"/>
      <c r="B107" s="41" t="n"/>
      <c r="C107" s="42" t="n"/>
      <c r="D107" s="29">
        <f>IF($B107="","",IFERROR(INDEX(機種マスタ!$A$4:$A$203,MATCH($B107,機種マスタ!$B$4:$B$203,0)),"未登録"))</f>
        <v/>
      </c>
      <c r="E107" s="29">
        <f>IF($B107="","",IFERROR(INDEX(機種マスタ!$C$4:$C$203,MATCH($B107,機種マスタ!$B$4:$B$203,0)),"-"))</f>
        <v/>
      </c>
      <c r="F107" s="29">
        <f>IF($B107="","",IFERROR(N(INDEX(機種マスタ!$D$4:$D$203,MATCH($B107,機種マスタ!$B$4:$B$203,0))),0))</f>
        <v/>
      </c>
      <c r="G107" s="29">
        <f>IF($B107="","",IF($C107="",1,$C107))</f>
        <v/>
      </c>
      <c r="H107" s="29">
        <f>IF($B107="","",F107*G107)</f>
        <v/>
      </c>
    </row>
    <row r="108">
      <c r="A108" s="40" t="n"/>
      <c r="B108" s="41" t="n"/>
      <c r="C108" s="42" t="n"/>
      <c r="D108" s="29">
        <f>IF($B108="","",IFERROR(INDEX(機種マスタ!$A$4:$A$203,MATCH($B108,機種マスタ!$B$4:$B$203,0)),"未登録"))</f>
        <v/>
      </c>
      <c r="E108" s="29">
        <f>IF($B108="","",IFERROR(INDEX(機種マスタ!$C$4:$C$203,MATCH($B108,機種マスタ!$B$4:$B$203,0)),"-"))</f>
        <v/>
      </c>
      <c r="F108" s="29">
        <f>IF($B108="","",IFERROR(N(INDEX(機種マスタ!$D$4:$D$203,MATCH($B108,機種マスタ!$B$4:$B$203,0))),0))</f>
        <v/>
      </c>
      <c r="G108" s="29">
        <f>IF($B108="","",IF($C108="",1,$C108))</f>
        <v/>
      </c>
      <c r="H108" s="29">
        <f>IF($B108="","",F108*G108)</f>
        <v/>
      </c>
    </row>
    <row r="109">
      <c r="A109" s="40" t="n"/>
      <c r="B109" s="41" t="n"/>
      <c r="C109" s="42" t="n"/>
      <c r="D109" s="29">
        <f>IF($B109="","",IFERROR(INDEX(機種マスタ!$A$4:$A$203,MATCH($B109,機種マスタ!$B$4:$B$203,0)),"未登録"))</f>
        <v/>
      </c>
      <c r="E109" s="29">
        <f>IF($B109="","",IFERROR(INDEX(機種マスタ!$C$4:$C$203,MATCH($B109,機種マスタ!$B$4:$B$203,0)),"-"))</f>
        <v/>
      </c>
      <c r="F109" s="29">
        <f>IF($B109="","",IFERROR(N(INDEX(機種マスタ!$D$4:$D$203,MATCH($B109,機種マスタ!$B$4:$B$203,0))),0))</f>
        <v/>
      </c>
      <c r="G109" s="29">
        <f>IF($B109="","",IF($C109="",1,$C109))</f>
        <v/>
      </c>
      <c r="H109" s="29">
        <f>IF($B109="","",F109*G109)</f>
        <v/>
      </c>
    </row>
    <row r="110">
      <c r="A110" s="40" t="n"/>
      <c r="B110" s="41" t="n"/>
      <c r="C110" s="42" t="n"/>
      <c r="D110" s="29">
        <f>IF($B110="","",IFERROR(INDEX(機種マスタ!$A$4:$A$203,MATCH($B110,機種マスタ!$B$4:$B$203,0)),"未登録"))</f>
        <v/>
      </c>
      <c r="E110" s="29">
        <f>IF($B110="","",IFERROR(INDEX(機種マスタ!$C$4:$C$203,MATCH($B110,機種マスタ!$B$4:$B$203,0)),"-"))</f>
        <v/>
      </c>
      <c r="F110" s="29">
        <f>IF($B110="","",IFERROR(N(INDEX(機種マスタ!$D$4:$D$203,MATCH($B110,機種マスタ!$B$4:$B$203,0))),0))</f>
        <v/>
      </c>
      <c r="G110" s="29">
        <f>IF($B110="","",IF($C110="",1,$C110))</f>
        <v/>
      </c>
      <c r="H110" s="29">
        <f>IF($B110="","",F110*G110)</f>
        <v/>
      </c>
    </row>
    <row r="111">
      <c r="A111" s="40" t="n"/>
      <c r="B111" s="41" t="n"/>
      <c r="C111" s="42" t="n"/>
      <c r="D111" s="29">
        <f>IF($B111="","",IFERROR(INDEX(機種マスタ!$A$4:$A$203,MATCH($B111,機種マスタ!$B$4:$B$203,0)),"未登録"))</f>
        <v/>
      </c>
      <c r="E111" s="29">
        <f>IF($B111="","",IFERROR(INDEX(機種マスタ!$C$4:$C$203,MATCH($B111,機種マスタ!$B$4:$B$203,0)),"-"))</f>
        <v/>
      </c>
      <c r="F111" s="29">
        <f>IF($B111="","",IFERROR(N(INDEX(機種マスタ!$D$4:$D$203,MATCH($B111,機種マスタ!$B$4:$B$203,0))),0))</f>
        <v/>
      </c>
      <c r="G111" s="29">
        <f>IF($B111="","",IF($C111="",1,$C111))</f>
        <v/>
      </c>
      <c r="H111" s="29">
        <f>IF($B111="","",F111*G111)</f>
        <v/>
      </c>
    </row>
    <row r="112">
      <c r="A112" s="40" t="n"/>
      <c r="B112" s="41" t="n"/>
      <c r="C112" s="42" t="n"/>
      <c r="D112" s="29">
        <f>IF($B112="","",IFERROR(INDEX(機種マスタ!$A$4:$A$203,MATCH($B112,機種マスタ!$B$4:$B$203,0)),"未登録"))</f>
        <v/>
      </c>
      <c r="E112" s="29">
        <f>IF($B112="","",IFERROR(INDEX(機種マスタ!$C$4:$C$203,MATCH($B112,機種マスタ!$B$4:$B$203,0)),"-"))</f>
        <v/>
      </c>
      <c r="F112" s="29">
        <f>IF($B112="","",IFERROR(N(INDEX(機種マスタ!$D$4:$D$203,MATCH($B112,機種マスタ!$B$4:$B$203,0))),0))</f>
        <v/>
      </c>
      <c r="G112" s="29">
        <f>IF($B112="","",IF($C112="",1,$C112))</f>
        <v/>
      </c>
      <c r="H112" s="29">
        <f>IF($B112="","",F112*G112)</f>
        <v/>
      </c>
    </row>
    <row r="113">
      <c r="A113" s="40" t="n"/>
      <c r="B113" s="41" t="n"/>
      <c r="C113" s="42" t="n"/>
      <c r="D113" s="29">
        <f>IF($B113="","",IFERROR(INDEX(機種マスタ!$A$4:$A$203,MATCH($B113,機種マスタ!$B$4:$B$203,0)),"未登録"))</f>
        <v/>
      </c>
      <c r="E113" s="29">
        <f>IF($B113="","",IFERROR(INDEX(機種マスタ!$C$4:$C$203,MATCH($B113,機種マスタ!$B$4:$B$203,0)),"-"))</f>
        <v/>
      </c>
      <c r="F113" s="29">
        <f>IF($B113="","",IFERROR(N(INDEX(機種マスタ!$D$4:$D$203,MATCH($B113,機種マスタ!$B$4:$B$203,0))),0))</f>
        <v/>
      </c>
      <c r="G113" s="29">
        <f>IF($B113="","",IF($C113="",1,$C113))</f>
        <v/>
      </c>
      <c r="H113" s="29">
        <f>IF($B113="","",F113*G113)</f>
        <v/>
      </c>
    </row>
    <row r="114">
      <c r="A114" s="40" t="n"/>
      <c r="B114" s="41" t="n"/>
      <c r="C114" s="42" t="n"/>
      <c r="D114" s="29">
        <f>IF($B114="","",IFERROR(INDEX(機種マスタ!$A$4:$A$203,MATCH($B114,機種マスタ!$B$4:$B$203,0)),"未登録"))</f>
        <v/>
      </c>
      <c r="E114" s="29">
        <f>IF($B114="","",IFERROR(INDEX(機種マスタ!$C$4:$C$203,MATCH($B114,機種マスタ!$B$4:$B$203,0)),"-"))</f>
        <v/>
      </c>
      <c r="F114" s="29">
        <f>IF($B114="","",IFERROR(N(INDEX(機種マスタ!$D$4:$D$203,MATCH($B114,機種マスタ!$B$4:$B$203,0))),0))</f>
        <v/>
      </c>
      <c r="G114" s="29">
        <f>IF($B114="","",IF($C114="",1,$C114))</f>
        <v/>
      </c>
      <c r="H114" s="29">
        <f>IF($B114="","",F114*G114)</f>
        <v/>
      </c>
    </row>
    <row r="115">
      <c r="A115" s="40" t="n"/>
      <c r="B115" s="41" t="n"/>
      <c r="C115" s="42" t="n"/>
      <c r="D115" s="29">
        <f>IF($B115="","",IFERROR(INDEX(機種マスタ!$A$4:$A$203,MATCH($B115,機種マスタ!$B$4:$B$203,0)),"未登録"))</f>
        <v/>
      </c>
      <c r="E115" s="29">
        <f>IF($B115="","",IFERROR(INDEX(機種マスタ!$C$4:$C$203,MATCH($B115,機種マスタ!$B$4:$B$203,0)),"-"))</f>
        <v/>
      </c>
      <c r="F115" s="29">
        <f>IF($B115="","",IFERROR(N(INDEX(機種マスタ!$D$4:$D$203,MATCH($B115,機種マスタ!$B$4:$B$203,0))),0))</f>
        <v/>
      </c>
      <c r="G115" s="29">
        <f>IF($B115="","",IF($C115="",1,$C115))</f>
        <v/>
      </c>
      <c r="H115" s="29">
        <f>IF($B115="","",F115*G115)</f>
        <v/>
      </c>
    </row>
    <row r="116">
      <c r="A116" s="40" t="n"/>
      <c r="B116" s="41" t="n"/>
      <c r="C116" s="42" t="n"/>
      <c r="D116" s="29">
        <f>IF($B116="","",IFERROR(INDEX(機種マスタ!$A$4:$A$203,MATCH($B116,機種マスタ!$B$4:$B$203,0)),"未登録"))</f>
        <v/>
      </c>
      <c r="E116" s="29">
        <f>IF($B116="","",IFERROR(INDEX(機種マスタ!$C$4:$C$203,MATCH($B116,機種マスタ!$B$4:$B$203,0)),"-"))</f>
        <v/>
      </c>
      <c r="F116" s="29">
        <f>IF($B116="","",IFERROR(N(INDEX(機種マスタ!$D$4:$D$203,MATCH($B116,機種マスタ!$B$4:$B$203,0))),0))</f>
        <v/>
      </c>
      <c r="G116" s="29">
        <f>IF($B116="","",IF($C116="",1,$C116))</f>
        <v/>
      </c>
      <c r="H116" s="29">
        <f>IF($B116="","",F116*G116)</f>
        <v/>
      </c>
    </row>
    <row r="117">
      <c r="A117" s="40" t="n"/>
      <c r="B117" s="41" t="n"/>
      <c r="C117" s="42" t="n"/>
      <c r="D117" s="29">
        <f>IF($B117="","",IFERROR(INDEX(機種マスタ!$A$4:$A$203,MATCH($B117,機種マスタ!$B$4:$B$203,0)),"未登録"))</f>
        <v/>
      </c>
      <c r="E117" s="29">
        <f>IF($B117="","",IFERROR(INDEX(機種マスタ!$C$4:$C$203,MATCH($B117,機種マスタ!$B$4:$B$203,0)),"-"))</f>
        <v/>
      </c>
      <c r="F117" s="29">
        <f>IF($B117="","",IFERROR(N(INDEX(機種マスタ!$D$4:$D$203,MATCH($B117,機種マスタ!$B$4:$B$203,0))),0))</f>
        <v/>
      </c>
      <c r="G117" s="29">
        <f>IF($B117="","",IF($C117="",1,$C117))</f>
        <v/>
      </c>
      <c r="H117" s="29">
        <f>IF($B117="","",F117*G117)</f>
        <v/>
      </c>
    </row>
    <row r="118">
      <c r="A118" s="40" t="n"/>
      <c r="B118" s="41" t="n"/>
      <c r="C118" s="42" t="n"/>
      <c r="D118" s="29">
        <f>IF($B118="","",IFERROR(INDEX(機種マスタ!$A$4:$A$203,MATCH($B118,機種マスタ!$B$4:$B$203,0)),"未登録"))</f>
        <v/>
      </c>
      <c r="E118" s="29">
        <f>IF($B118="","",IFERROR(INDEX(機種マスタ!$C$4:$C$203,MATCH($B118,機種マスタ!$B$4:$B$203,0)),"-"))</f>
        <v/>
      </c>
      <c r="F118" s="29">
        <f>IF($B118="","",IFERROR(N(INDEX(機種マスタ!$D$4:$D$203,MATCH($B118,機種マスタ!$B$4:$B$203,0))),0))</f>
        <v/>
      </c>
      <c r="G118" s="29">
        <f>IF($B118="","",IF($C118="",1,$C118))</f>
        <v/>
      </c>
      <c r="H118" s="29">
        <f>IF($B118="","",F118*G118)</f>
        <v/>
      </c>
    </row>
    <row r="119">
      <c r="A119" s="40" t="n"/>
      <c r="B119" s="41" t="n"/>
      <c r="C119" s="42" t="n"/>
      <c r="D119" s="29">
        <f>IF($B119="","",IFERROR(INDEX(機種マスタ!$A$4:$A$203,MATCH($B119,機種マスタ!$B$4:$B$203,0)),"未登録"))</f>
        <v/>
      </c>
      <c r="E119" s="29">
        <f>IF($B119="","",IFERROR(INDEX(機種マスタ!$C$4:$C$203,MATCH($B119,機種マスタ!$B$4:$B$203,0)),"-"))</f>
        <v/>
      </c>
      <c r="F119" s="29">
        <f>IF($B119="","",IFERROR(N(INDEX(機種マスタ!$D$4:$D$203,MATCH($B119,機種マスタ!$B$4:$B$203,0))),0))</f>
        <v/>
      </c>
      <c r="G119" s="29">
        <f>IF($B119="","",IF($C119="",1,$C119))</f>
        <v/>
      </c>
      <c r="H119" s="29">
        <f>IF($B119="","",F119*G119)</f>
        <v/>
      </c>
    </row>
    <row r="120">
      <c r="A120" s="40" t="n"/>
      <c r="B120" s="41" t="n"/>
      <c r="C120" s="42" t="n"/>
      <c r="D120" s="29">
        <f>IF($B120="","",IFERROR(INDEX(機種マスタ!$A$4:$A$203,MATCH($B120,機種マスタ!$B$4:$B$203,0)),"未登録"))</f>
        <v/>
      </c>
      <c r="E120" s="29">
        <f>IF($B120="","",IFERROR(INDEX(機種マスタ!$C$4:$C$203,MATCH($B120,機種マスタ!$B$4:$B$203,0)),"-"))</f>
        <v/>
      </c>
      <c r="F120" s="29">
        <f>IF($B120="","",IFERROR(N(INDEX(機種マスタ!$D$4:$D$203,MATCH($B120,機種マスタ!$B$4:$B$203,0))),0))</f>
        <v/>
      </c>
      <c r="G120" s="29">
        <f>IF($B120="","",IF($C120="",1,$C120))</f>
        <v/>
      </c>
      <c r="H120" s="29">
        <f>IF($B120="","",F120*G120)</f>
        <v/>
      </c>
    </row>
    <row r="121">
      <c r="A121" s="40" t="n"/>
      <c r="B121" s="41" t="n"/>
      <c r="C121" s="42" t="n"/>
      <c r="D121" s="29">
        <f>IF($B121="","",IFERROR(INDEX(機種マスタ!$A$4:$A$203,MATCH($B121,機種マスタ!$B$4:$B$203,0)),"未登録"))</f>
        <v/>
      </c>
      <c r="E121" s="29">
        <f>IF($B121="","",IFERROR(INDEX(機種マスタ!$C$4:$C$203,MATCH($B121,機種マスタ!$B$4:$B$203,0)),"-"))</f>
        <v/>
      </c>
      <c r="F121" s="29">
        <f>IF($B121="","",IFERROR(N(INDEX(機種マスタ!$D$4:$D$203,MATCH($B121,機種マスタ!$B$4:$B$203,0))),0))</f>
        <v/>
      </c>
      <c r="G121" s="29">
        <f>IF($B121="","",IF($C121="",1,$C121))</f>
        <v/>
      </c>
      <c r="H121" s="29">
        <f>IF($B121="","",F121*G121)</f>
        <v/>
      </c>
    </row>
    <row r="122">
      <c r="A122" s="40" t="n"/>
      <c r="B122" s="41" t="n"/>
      <c r="C122" s="42" t="n"/>
      <c r="D122" s="29">
        <f>IF($B122="","",IFERROR(INDEX(機種マスタ!$A$4:$A$203,MATCH($B122,機種マスタ!$B$4:$B$203,0)),"未登録"))</f>
        <v/>
      </c>
      <c r="E122" s="29">
        <f>IF($B122="","",IFERROR(INDEX(機種マスタ!$C$4:$C$203,MATCH($B122,機種マスタ!$B$4:$B$203,0)),"-"))</f>
        <v/>
      </c>
      <c r="F122" s="29">
        <f>IF($B122="","",IFERROR(N(INDEX(機種マスタ!$D$4:$D$203,MATCH($B122,機種マスタ!$B$4:$B$203,0))),0))</f>
        <v/>
      </c>
      <c r="G122" s="29">
        <f>IF($B122="","",IF($C122="",1,$C122))</f>
        <v/>
      </c>
      <c r="H122" s="29">
        <f>IF($B122="","",F122*G122)</f>
        <v/>
      </c>
    </row>
    <row r="123">
      <c r="A123" s="40" t="n"/>
      <c r="B123" s="41" t="n"/>
      <c r="C123" s="42" t="n"/>
      <c r="D123" s="29">
        <f>IF($B123="","",IFERROR(INDEX(機種マスタ!$A$4:$A$203,MATCH($B123,機種マスタ!$B$4:$B$203,0)),"未登録"))</f>
        <v/>
      </c>
      <c r="E123" s="29">
        <f>IF($B123="","",IFERROR(INDEX(機種マスタ!$C$4:$C$203,MATCH($B123,機種マスタ!$B$4:$B$203,0)),"-"))</f>
        <v/>
      </c>
      <c r="F123" s="29">
        <f>IF($B123="","",IFERROR(N(INDEX(機種マスタ!$D$4:$D$203,MATCH($B123,機種マスタ!$B$4:$B$203,0))),0))</f>
        <v/>
      </c>
      <c r="G123" s="29">
        <f>IF($B123="","",IF($C123="",1,$C123))</f>
        <v/>
      </c>
      <c r="H123" s="29">
        <f>IF($B123="","",F123*G123)</f>
        <v/>
      </c>
    </row>
    <row r="124">
      <c r="A124" s="40" t="n"/>
      <c r="B124" s="41" t="n"/>
      <c r="C124" s="42" t="n"/>
      <c r="D124" s="29">
        <f>IF($B124="","",IFERROR(INDEX(機種マスタ!$A$4:$A$203,MATCH($B124,機種マスタ!$B$4:$B$203,0)),"未登録"))</f>
        <v/>
      </c>
      <c r="E124" s="29">
        <f>IF($B124="","",IFERROR(INDEX(機種マスタ!$C$4:$C$203,MATCH($B124,機種マスタ!$B$4:$B$203,0)),"-"))</f>
        <v/>
      </c>
      <c r="F124" s="29">
        <f>IF($B124="","",IFERROR(N(INDEX(機種マスタ!$D$4:$D$203,MATCH($B124,機種マスタ!$B$4:$B$203,0))),0))</f>
        <v/>
      </c>
      <c r="G124" s="29">
        <f>IF($B124="","",IF($C124="",1,$C124))</f>
        <v/>
      </c>
      <c r="H124" s="29">
        <f>IF($B124="","",F124*G124)</f>
        <v/>
      </c>
    </row>
    <row r="125">
      <c r="A125" s="40" t="n"/>
      <c r="B125" s="41" t="n"/>
      <c r="C125" s="42" t="n"/>
      <c r="D125" s="29">
        <f>IF($B125="","",IFERROR(INDEX(機種マスタ!$A$4:$A$203,MATCH($B125,機種マスタ!$B$4:$B$203,0)),"未登録"))</f>
        <v/>
      </c>
      <c r="E125" s="29">
        <f>IF($B125="","",IFERROR(INDEX(機種マスタ!$C$4:$C$203,MATCH($B125,機種マスタ!$B$4:$B$203,0)),"-"))</f>
        <v/>
      </c>
      <c r="F125" s="29">
        <f>IF($B125="","",IFERROR(N(INDEX(機種マスタ!$D$4:$D$203,MATCH($B125,機種マスタ!$B$4:$B$203,0))),0))</f>
        <v/>
      </c>
      <c r="G125" s="29">
        <f>IF($B125="","",IF($C125="",1,$C125))</f>
        <v/>
      </c>
      <c r="H125" s="29">
        <f>IF($B125="","",F125*G125)</f>
        <v/>
      </c>
    </row>
    <row r="126">
      <c r="A126" s="40" t="n"/>
      <c r="B126" s="41" t="n"/>
      <c r="C126" s="42" t="n"/>
      <c r="D126" s="29">
        <f>IF($B126="","",IFERROR(INDEX(機種マスタ!$A$4:$A$203,MATCH($B126,機種マスタ!$B$4:$B$203,0)),"未登録"))</f>
        <v/>
      </c>
      <c r="E126" s="29">
        <f>IF($B126="","",IFERROR(INDEX(機種マスタ!$C$4:$C$203,MATCH($B126,機種マスタ!$B$4:$B$203,0)),"-"))</f>
        <v/>
      </c>
      <c r="F126" s="29">
        <f>IF($B126="","",IFERROR(N(INDEX(機種マスタ!$D$4:$D$203,MATCH($B126,機種マスタ!$B$4:$B$203,0))),0))</f>
        <v/>
      </c>
      <c r="G126" s="29">
        <f>IF($B126="","",IF($C126="",1,$C126))</f>
        <v/>
      </c>
      <c r="H126" s="29">
        <f>IF($B126="","",F126*G126)</f>
        <v/>
      </c>
    </row>
    <row r="127">
      <c r="A127" s="40" t="n"/>
      <c r="B127" s="41" t="n"/>
      <c r="C127" s="42" t="n"/>
      <c r="D127" s="29">
        <f>IF($B127="","",IFERROR(INDEX(機種マスタ!$A$4:$A$203,MATCH($B127,機種マスタ!$B$4:$B$203,0)),"未登録"))</f>
        <v/>
      </c>
      <c r="E127" s="29">
        <f>IF($B127="","",IFERROR(INDEX(機種マスタ!$C$4:$C$203,MATCH($B127,機種マスタ!$B$4:$B$203,0)),"-"))</f>
        <v/>
      </c>
      <c r="F127" s="29">
        <f>IF($B127="","",IFERROR(N(INDEX(機種マスタ!$D$4:$D$203,MATCH($B127,機種マスタ!$B$4:$B$203,0))),0))</f>
        <v/>
      </c>
      <c r="G127" s="29">
        <f>IF($B127="","",IF($C127="",1,$C127))</f>
        <v/>
      </c>
      <c r="H127" s="29">
        <f>IF($B127="","",F127*G127)</f>
        <v/>
      </c>
    </row>
    <row r="128">
      <c r="A128" s="40" t="n"/>
      <c r="B128" s="41" t="n"/>
      <c r="C128" s="42" t="n"/>
      <c r="D128" s="29">
        <f>IF($B128="","",IFERROR(INDEX(機種マスタ!$A$4:$A$203,MATCH($B128,機種マスタ!$B$4:$B$203,0)),"未登録"))</f>
        <v/>
      </c>
      <c r="E128" s="29">
        <f>IF($B128="","",IFERROR(INDEX(機種マスタ!$C$4:$C$203,MATCH($B128,機種マスタ!$B$4:$B$203,0)),"-"))</f>
        <v/>
      </c>
      <c r="F128" s="29">
        <f>IF($B128="","",IFERROR(N(INDEX(機種マスタ!$D$4:$D$203,MATCH($B128,機種マスタ!$B$4:$B$203,0))),0))</f>
        <v/>
      </c>
      <c r="G128" s="29">
        <f>IF($B128="","",IF($C128="",1,$C128))</f>
        <v/>
      </c>
      <c r="H128" s="29">
        <f>IF($B128="","",F128*G128)</f>
        <v/>
      </c>
    </row>
    <row r="129">
      <c r="A129" s="40" t="n"/>
      <c r="B129" s="41" t="n"/>
      <c r="C129" s="42" t="n"/>
      <c r="D129" s="29">
        <f>IF($B129="","",IFERROR(INDEX(機種マスタ!$A$4:$A$203,MATCH($B129,機種マスタ!$B$4:$B$203,0)),"未登録"))</f>
        <v/>
      </c>
      <c r="E129" s="29">
        <f>IF($B129="","",IFERROR(INDEX(機種マスタ!$C$4:$C$203,MATCH($B129,機種マスタ!$B$4:$B$203,0)),"-"))</f>
        <v/>
      </c>
      <c r="F129" s="29">
        <f>IF($B129="","",IFERROR(N(INDEX(機種マスタ!$D$4:$D$203,MATCH($B129,機種マスタ!$B$4:$B$203,0))),0))</f>
        <v/>
      </c>
      <c r="G129" s="29">
        <f>IF($B129="","",IF($C129="",1,$C129))</f>
        <v/>
      </c>
      <c r="H129" s="29">
        <f>IF($B129="","",F129*G129)</f>
        <v/>
      </c>
    </row>
    <row r="130">
      <c r="A130" s="40" t="n"/>
      <c r="B130" s="41" t="n"/>
      <c r="C130" s="42" t="n"/>
      <c r="D130" s="29">
        <f>IF($B130="","",IFERROR(INDEX(機種マスタ!$A$4:$A$203,MATCH($B130,機種マスタ!$B$4:$B$203,0)),"未登録"))</f>
        <v/>
      </c>
      <c r="E130" s="29">
        <f>IF($B130="","",IFERROR(INDEX(機種マスタ!$C$4:$C$203,MATCH($B130,機種マスタ!$B$4:$B$203,0)),"-"))</f>
        <v/>
      </c>
      <c r="F130" s="29">
        <f>IF($B130="","",IFERROR(N(INDEX(機種マスタ!$D$4:$D$203,MATCH($B130,機種マスタ!$B$4:$B$203,0))),0))</f>
        <v/>
      </c>
      <c r="G130" s="29">
        <f>IF($B130="","",IF($C130="",1,$C130))</f>
        <v/>
      </c>
      <c r="H130" s="29">
        <f>IF($B130="","",F130*G130)</f>
        <v/>
      </c>
    </row>
    <row r="131">
      <c r="A131" s="40" t="n"/>
      <c r="B131" s="41" t="n"/>
      <c r="C131" s="42" t="n"/>
      <c r="D131" s="29">
        <f>IF($B131="","",IFERROR(INDEX(機種マスタ!$A$4:$A$203,MATCH($B131,機種マスタ!$B$4:$B$203,0)),"未登録"))</f>
        <v/>
      </c>
      <c r="E131" s="29">
        <f>IF($B131="","",IFERROR(INDEX(機種マスタ!$C$4:$C$203,MATCH($B131,機種マスタ!$B$4:$B$203,0)),"-"))</f>
        <v/>
      </c>
      <c r="F131" s="29">
        <f>IF($B131="","",IFERROR(N(INDEX(機種マスタ!$D$4:$D$203,MATCH($B131,機種マスタ!$B$4:$B$203,0))),0))</f>
        <v/>
      </c>
      <c r="G131" s="29">
        <f>IF($B131="","",IF($C131="",1,$C131))</f>
        <v/>
      </c>
      <c r="H131" s="29">
        <f>IF($B131="","",F131*G131)</f>
        <v/>
      </c>
    </row>
    <row r="132">
      <c r="A132" s="40" t="n"/>
      <c r="B132" s="41" t="n"/>
      <c r="C132" s="42" t="n"/>
      <c r="D132" s="29">
        <f>IF($B132="","",IFERROR(INDEX(機種マスタ!$A$4:$A$203,MATCH($B132,機種マスタ!$B$4:$B$203,0)),"未登録"))</f>
        <v/>
      </c>
      <c r="E132" s="29">
        <f>IF($B132="","",IFERROR(INDEX(機種マスタ!$C$4:$C$203,MATCH($B132,機種マスタ!$B$4:$B$203,0)),"-"))</f>
        <v/>
      </c>
      <c r="F132" s="29">
        <f>IF($B132="","",IFERROR(N(INDEX(機種マスタ!$D$4:$D$203,MATCH($B132,機種マスタ!$B$4:$B$203,0))),0))</f>
        <v/>
      </c>
      <c r="G132" s="29">
        <f>IF($B132="","",IF($C132="",1,$C132))</f>
        <v/>
      </c>
      <c r="H132" s="29">
        <f>IF($B132="","",F132*G132)</f>
        <v/>
      </c>
    </row>
    <row r="133">
      <c r="A133" s="40" t="n"/>
      <c r="B133" s="41" t="n"/>
      <c r="C133" s="42" t="n"/>
      <c r="D133" s="29">
        <f>IF($B133="","",IFERROR(INDEX(機種マスタ!$A$4:$A$203,MATCH($B133,機種マスタ!$B$4:$B$203,0)),"未登録"))</f>
        <v/>
      </c>
      <c r="E133" s="29">
        <f>IF($B133="","",IFERROR(INDEX(機種マスタ!$C$4:$C$203,MATCH($B133,機種マスタ!$B$4:$B$203,0)),"-"))</f>
        <v/>
      </c>
      <c r="F133" s="29">
        <f>IF($B133="","",IFERROR(N(INDEX(機種マスタ!$D$4:$D$203,MATCH($B133,機種マスタ!$B$4:$B$203,0))),0))</f>
        <v/>
      </c>
      <c r="G133" s="29">
        <f>IF($B133="","",IF($C133="",1,$C133))</f>
        <v/>
      </c>
      <c r="H133" s="29">
        <f>IF($B133="","",F133*G133)</f>
        <v/>
      </c>
    </row>
    <row r="134">
      <c r="A134" s="40" t="n"/>
      <c r="B134" s="41" t="n"/>
      <c r="C134" s="42" t="n"/>
      <c r="D134" s="29">
        <f>IF($B134="","",IFERROR(INDEX(機種マスタ!$A$4:$A$203,MATCH($B134,機種マスタ!$B$4:$B$203,0)),"未登録"))</f>
        <v/>
      </c>
      <c r="E134" s="29">
        <f>IF($B134="","",IFERROR(INDEX(機種マスタ!$C$4:$C$203,MATCH($B134,機種マスタ!$B$4:$B$203,0)),"-"))</f>
        <v/>
      </c>
      <c r="F134" s="29">
        <f>IF($B134="","",IFERROR(N(INDEX(機種マスタ!$D$4:$D$203,MATCH($B134,機種マスタ!$B$4:$B$203,0))),0))</f>
        <v/>
      </c>
      <c r="G134" s="29">
        <f>IF($B134="","",IF($C134="",1,$C134))</f>
        <v/>
      </c>
      <c r="H134" s="29">
        <f>IF($B134="","",F134*G134)</f>
        <v/>
      </c>
    </row>
    <row r="135">
      <c r="A135" s="40" t="n"/>
      <c r="B135" s="41" t="n"/>
      <c r="C135" s="42" t="n"/>
      <c r="D135" s="29">
        <f>IF($B135="","",IFERROR(INDEX(機種マスタ!$A$4:$A$203,MATCH($B135,機種マスタ!$B$4:$B$203,0)),"未登録"))</f>
        <v/>
      </c>
      <c r="E135" s="29">
        <f>IF($B135="","",IFERROR(INDEX(機種マスタ!$C$4:$C$203,MATCH($B135,機種マスタ!$B$4:$B$203,0)),"-"))</f>
        <v/>
      </c>
      <c r="F135" s="29">
        <f>IF($B135="","",IFERROR(N(INDEX(機種マスタ!$D$4:$D$203,MATCH($B135,機種マスタ!$B$4:$B$203,0))),0))</f>
        <v/>
      </c>
      <c r="G135" s="29">
        <f>IF($B135="","",IF($C135="",1,$C135))</f>
        <v/>
      </c>
      <c r="H135" s="29">
        <f>IF($B135="","",F135*G135)</f>
        <v/>
      </c>
    </row>
    <row r="136">
      <c r="A136" s="40" t="n"/>
      <c r="B136" s="41" t="n"/>
      <c r="C136" s="42" t="n"/>
      <c r="D136" s="29">
        <f>IF($B136="","",IFERROR(INDEX(機種マスタ!$A$4:$A$203,MATCH($B136,機種マスタ!$B$4:$B$203,0)),"未登録"))</f>
        <v/>
      </c>
      <c r="E136" s="29">
        <f>IF($B136="","",IFERROR(INDEX(機種マスタ!$C$4:$C$203,MATCH($B136,機種マスタ!$B$4:$B$203,0)),"-"))</f>
        <v/>
      </c>
      <c r="F136" s="29">
        <f>IF($B136="","",IFERROR(N(INDEX(機種マスタ!$D$4:$D$203,MATCH($B136,機種マスタ!$B$4:$B$203,0))),0))</f>
        <v/>
      </c>
      <c r="G136" s="29">
        <f>IF($B136="","",IF($C136="",1,$C136))</f>
        <v/>
      </c>
      <c r="H136" s="29">
        <f>IF($B136="","",F136*G136)</f>
        <v/>
      </c>
    </row>
    <row r="137">
      <c r="A137" s="40" t="n"/>
      <c r="B137" s="41" t="n"/>
      <c r="C137" s="42" t="n"/>
      <c r="D137" s="29">
        <f>IF($B137="","",IFERROR(INDEX(機種マスタ!$A$4:$A$203,MATCH($B137,機種マスタ!$B$4:$B$203,0)),"未登録"))</f>
        <v/>
      </c>
      <c r="E137" s="29">
        <f>IF($B137="","",IFERROR(INDEX(機種マスタ!$C$4:$C$203,MATCH($B137,機種マスタ!$B$4:$B$203,0)),"-"))</f>
        <v/>
      </c>
      <c r="F137" s="29">
        <f>IF($B137="","",IFERROR(N(INDEX(機種マスタ!$D$4:$D$203,MATCH($B137,機種マスタ!$B$4:$B$203,0))),0))</f>
        <v/>
      </c>
      <c r="G137" s="29">
        <f>IF($B137="","",IF($C137="",1,$C137))</f>
        <v/>
      </c>
      <c r="H137" s="29">
        <f>IF($B137="","",F137*G137)</f>
        <v/>
      </c>
    </row>
    <row r="138">
      <c r="A138" s="40" t="n"/>
      <c r="B138" s="41" t="n"/>
      <c r="C138" s="42" t="n"/>
      <c r="D138" s="29">
        <f>IF($B138="","",IFERROR(INDEX(機種マスタ!$A$4:$A$203,MATCH($B138,機種マスタ!$B$4:$B$203,0)),"未登録"))</f>
        <v/>
      </c>
      <c r="E138" s="29">
        <f>IF($B138="","",IFERROR(INDEX(機種マスタ!$C$4:$C$203,MATCH($B138,機種マスタ!$B$4:$B$203,0)),"-"))</f>
        <v/>
      </c>
      <c r="F138" s="29">
        <f>IF($B138="","",IFERROR(N(INDEX(機種マスタ!$D$4:$D$203,MATCH($B138,機種マスタ!$B$4:$B$203,0))),0))</f>
        <v/>
      </c>
      <c r="G138" s="29">
        <f>IF($B138="","",IF($C138="",1,$C138))</f>
        <v/>
      </c>
      <c r="H138" s="29">
        <f>IF($B138="","",F138*G138)</f>
        <v/>
      </c>
    </row>
    <row r="139">
      <c r="A139" s="40" t="n"/>
      <c r="B139" s="41" t="n"/>
      <c r="C139" s="42" t="n"/>
      <c r="D139" s="29">
        <f>IF($B139="","",IFERROR(INDEX(機種マスタ!$A$4:$A$203,MATCH($B139,機種マスタ!$B$4:$B$203,0)),"未登録"))</f>
        <v/>
      </c>
      <c r="E139" s="29">
        <f>IF($B139="","",IFERROR(INDEX(機種マスタ!$C$4:$C$203,MATCH($B139,機種マスタ!$B$4:$B$203,0)),"-"))</f>
        <v/>
      </c>
      <c r="F139" s="29">
        <f>IF($B139="","",IFERROR(N(INDEX(機種マスタ!$D$4:$D$203,MATCH($B139,機種マスタ!$B$4:$B$203,0))),0))</f>
        <v/>
      </c>
      <c r="G139" s="29">
        <f>IF($B139="","",IF($C139="",1,$C139))</f>
        <v/>
      </c>
      <c r="H139" s="29">
        <f>IF($B139="","",F139*G139)</f>
        <v/>
      </c>
    </row>
    <row r="140">
      <c r="A140" s="40" t="n"/>
      <c r="B140" s="41" t="n"/>
      <c r="C140" s="42" t="n"/>
      <c r="D140" s="29">
        <f>IF($B140="","",IFERROR(INDEX(機種マスタ!$A$4:$A$203,MATCH($B140,機種マスタ!$B$4:$B$203,0)),"未登録"))</f>
        <v/>
      </c>
      <c r="E140" s="29">
        <f>IF($B140="","",IFERROR(INDEX(機種マスタ!$C$4:$C$203,MATCH($B140,機種マスタ!$B$4:$B$203,0)),"-"))</f>
        <v/>
      </c>
      <c r="F140" s="29">
        <f>IF($B140="","",IFERROR(N(INDEX(機種マスタ!$D$4:$D$203,MATCH($B140,機種マスタ!$B$4:$B$203,0))),0))</f>
        <v/>
      </c>
      <c r="G140" s="29">
        <f>IF($B140="","",IF($C140="",1,$C140))</f>
        <v/>
      </c>
      <c r="H140" s="29">
        <f>IF($B140="","",F140*G140)</f>
        <v/>
      </c>
    </row>
    <row r="141">
      <c r="A141" s="40" t="n"/>
      <c r="B141" s="41" t="n"/>
      <c r="C141" s="42" t="n"/>
      <c r="D141" s="29">
        <f>IF($B141="","",IFERROR(INDEX(機種マスタ!$A$4:$A$203,MATCH($B141,機種マスタ!$B$4:$B$203,0)),"未登録"))</f>
        <v/>
      </c>
      <c r="E141" s="29">
        <f>IF($B141="","",IFERROR(INDEX(機種マスタ!$C$4:$C$203,MATCH($B141,機種マスタ!$B$4:$B$203,0)),"-"))</f>
        <v/>
      </c>
      <c r="F141" s="29">
        <f>IF($B141="","",IFERROR(N(INDEX(機種マスタ!$D$4:$D$203,MATCH($B141,機種マスタ!$B$4:$B$203,0))),0))</f>
        <v/>
      </c>
      <c r="G141" s="29">
        <f>IF($B141="","",IF($C141="",1,$C141))</f>
        <v/>
      </c>
      <c r="H141" s="29">
        <f>IF($B141="","",F141*G141)</f>
        <v/>
      </c>
    </row>
    <row r="142">
      <c r="A142" s="40" t="n"/>
      <c r="B142" s="41" t="n"/>
      <c r="C142" s="42" t="n"/>
      <c r="D142" s="29">
        <f>IF($B142="","",IFERROR(INDEX(機種マスタ!$A$4:$A$203,MATCH($B142,機種マスタ!$B$4:$B$203,0)),"未登録"))</f>
        <v/>
      </c>
      <c r="E142" s="29">
        <f>IF($B142="","",IFERROR(INDEX(機種マスタ!$C$4:$C$203,MATCH($B142,機種マスタ!$B$4:$B$203,0)),"-"))</f>
        <v/>
      </c>
      <c r="F142" s="29">
        <f>IF($B142="","",IFERROR(N(INDEX(機種マスタ!$D$4:$D$203,MATCH($B142,機種マスタ!$B$4:$B$203,0))),0))</f>
        <v/>
      </c>
      <c r="G142" s="29">
        <f>IF($B142="","",IF($C142="",1,$C142))</f>
        <v/>
      </c>
      <c r="H142" s="29">
        <f>IF($B142="","",F142*G142)</f>
        <v/>
      </c>
    </row>
    <row r="143">
      <c r="A143" s="40" t="n"/>
      <c r="B143" s="41" t="n"/>
      <c r="C143" s="42" t="n"/>
      <c r="D143" s="29">
        <f>IF($B143="","",IFERROR(INDEX(機種マスタ!$A$4:$A$203,MATCH($B143,機種マスタ!$B$4:$B$203,0)),"未登録"))</f>
        <v/>
      </c>
      <c r="E143" s="29">
        <f>IF($B143="","",IFERROR(INDEX(機種マスタ!$C$4:$C$203,MATCH($B143,機種マスタ!$B$4:$B$203,0)),"-"))</f>
        <v/>
      </c>
      <c r="F143" s="29">
        <f>IF($B143="","",IFERROR(N(INDEX(機種マスタ!$D$4:$D$203,MATCH($B143,機種マスタ!$B$4:$B$203,0))),0))</f>
        <v/>
      </c>
      <c r="G143" s="29">
        <f>IF($B143="","",IF($C143="",1,$C143))</f>
        <v/>
      </c>
      <c r="H143" s="29">
        <f>IF($B143="","",F143*G143)</f>
        <v/>
      </c>
    </row>
    <row r="144">
      <c r="A144" s="40" t="n"/>
      <c r="B144" s="41" t="n"/>
      <c r="C144" s="42" t="n"/>
      <c r="D144" s="29">
        <f>IF($B144="","",IFERROR(INDEX(機種マスタ!$A$4:$A$203,MATCH($B144,機種マスタ!$B$4:$B$203,0)),"未登録"))</f>
        <v/>
      </c>
      <c r="E144" s="29">
        <f>IF($B144="","",IFERROR(INDEX(機種マスタ!$C$4:$C$203,MATCH($B144,機種マスタ!$B$4:$B$203,0)),"-"))</f>
        <v/>
      </c>
      <c r="F144" s="29">
        <f>IF($B144="","",IFERROR(N(INDEX(機種マスタ!$D$4:$D$203,MATCH($B144,機種マスタ!$B$4:$B$203,0))),0))</f>
        <v/>
      </c>
      <c r="G144" s="29">
        <f>IF($B144="","",IF($C144="",1,$C144))</f>
        <v/>
      </c>
      <c r="H144" s="29">
        <f>IF($B144="","",F144*G144)</f>
        <v/>
      </c>
    </row>
    <row r="145">
      <c r="A145" s="40" t="n"/>
      <c r="B145" s="41" t="n"/>
      <c r="C145" s="42" t="n"/>
      <c r="D145" s="29">
        <f>IF($B145="","",IFERROR(INDEX(機種マスタ!$A$4:$A$203,MATCH($B145,機種マスタ!$B$4:$B$203,0)),"未登録"))</f>
        <v/>
      </c>
      <c r="E145" s="29">
        <f>IF($B145="","",IFERROR(INDEX(機種マスタ!$C$4:$C$203,MATCH($B145,機種マスタ!$B$4:$B$203,0)),"-"))</f>
        <v/>
      </c>
      <c r="F145" s="29">
        <f>IF($B145="","",IFERROR(N(INDEX(機種マスタ!$D$4:$D$203,MATCH($B145,機種マスタ!$B$4:$B$203,0))),0))</f>
        <v/>
      </c>
      <c r="G145" s="29">
        <f>IF($B145="","",IF($C145="",1,$C145))</f>
        <v/>
      </c>
      <c r="H145" s="29">
        <f>IF($B145="","",F145*G145)</f>
        <v/>
      </c>
    </row>
    <row r="146">
      <c r="A146" s="40" t="n"/>
      <c r="B146" s="41" t="n"/>
      <c r="C146" s="42" t="n"/>
      <c r="D146" s="29">
        <f>IF($B146="","",IFERROR(INDEX(機種マスタ!$A$4:$A$203,MATCH($B146,機種マスタ!$B$4:$B$203,0)),"未登録"))</f>
        <v/>
      </c>
      <c r="E146" s="29">
        <f>IF($B146="","",IFERROR(INDEX(機種マスタ!$C$4:$C$203,MATCH($B146,機種マスタ!$B$4:$B$203,0)),"-"))</f>
        <v/>
      </c>
      <c r="F146" s="29">
        <f>IF($B146="","",IFERROR(N(INDEX(機種マスタ!$D$4:$D$203,MATCH($B146,機種マスタ!$B$4:$B$203,0))),0))</f>
        <v/>
      </c>
      <c r="G146" s="29">
        <f>IF($B146="","",IF($C146="",1,$C146))</f>
        <v/>
      </c>
      <c r="H146" s="29">
        <f>IF($B146="","",F146*G146)</f>
        <v/>
      </c>
    </row>
    <row r="147">
      <c r="A147" s="40" t="n"/>
      <c r="B147" s="41" t="n"/>
      <c r="C147" s="42" t="n"/>
      <c r="D147" s="29">
        <f>IF($B147="","",IFERROR(INDEX(機種マスタ!$A$4:$A$203,MATCH($B147,機種マスタ!$B$4:$B$203,0)),"未登録"))</f>
        <v/>
      </c>
      <c r="E147" s="29">
        <f>IF($B147="","",IFERROR(INDEX(機種マスタ!$C$4:$C$203,MATCH($B147,機種マスタ!$B$4:$B$203,0)),"-"))</f>
        <v/>
      </c>
      <c r="F147" s="29">
        <f>IF($B147="","",IFERROR(N(INDEX(機種マスタ!$D$4:$D$203,MATCH($B147,機種マスタ!$B$4:$B$203,0))),0))</f>
        <v/>
      </c>
      <c r="G147" s="29">
        <f>IF($B147="","",IF($C147="",1,$C147))</f>
        <v/>
      </c>
      <c r="H147" s="29">
        <f>IF($B147="","",F147*G147)</f>
        <v/>
      </c>
    </row>
    <row r="148">
      <c r="A148" s="40" t="n"/>
      <c r="B148" s="41" t="n"/>
      <c r="C148" s="42" t="n"/>
      <c r="D148" s="29">
        <f>IF($B148="","",IFERROR(INDEX(機種マスタ!$A$4:$A$203,MATCH($B148,機種マスタ!$B$4:$B$203,0)),"未登録"))</f>
        <v/>
      </c>
      <c r="E148" s="29">
        <f>IF($B148="","",IFERROR(INDEX(機種マスタ!$C$4:$C$203,MATCH($B148,機種マスタ!$B$4:$B$203,0)),"-"))</f>
        <v/>
      </c>
      <c r="F148" s="29">
        <f>IF($B148="","",IFERROR(N(INDEX(機種マスタ!$D$4:$D$203,MATCH($B148,機種マスタ!$B$4:$B$203,0))),0))</f>
        <v/>
      </c>
      <c r="G148" s="29">
        <f>IF($B148="","",IF($C148="",1,$C148))</f>
        <v/>
      </c>
      <c r="H148" s="29">
        <f>IF($B148="","",F148*G148)</f>
        <v/>
      </c>
    </row>
    <row r="149">
      <c r="A149" s="40" t="n"/>
      <c r="B149" s="41" t="n"/>
      <c r="C149" s="42" t="n"/>
      <c r="D149" s="29">
        <f>IF($B149="","",IFERROR(INDEX(機種マスタ!$A$4:$A$203,MATCH($B149,機種マスタ!$B$4:$B$203,0)),"未登録"))</f>
        <v/>
      </c>
      <c r="E149" s="29">
        <f>IF($B149="","",IFERROR(INDEX(機種マスタ!$C$4:$C$203,MATCH($B149,機種マスタ!$B$4:$B$203,0)),"-"))</f>
        <v/>
      </c>
      <c r="F149" s="29">
        <f>IF($B149="","",IFERROR(N(INDEX(機種マスタ!$D$4:$D$203,MATCH($B149,機種マスタ!$B$4:$B$203,0))),0))</f>
        <v/>
      </c>
      <c r="G149" s="29">
        <f>IF($B149="","",IF($C149="",1,$C149))</f>
        <v/>
      </c>
      <c r="H149" s="29">
        <f>IF($B149="","",F149*G149)</f>
        <v/>
      </c>
    </row>
    <row r="150">
      <c r="A150" s="40" t="n"/>
      <c r="B150" s="41" t="n"/>
      <c r="C150" s="42" t="n"/>
      <c r="D150" s="29">
        <f>IF($B150="","",IFERROR(INDEX(機種マスタ!$A$4:$A$203,MATCH($B150,機種マスタ!$B$4:$B$203,0)),"未登録"))</f>
        <v/>
      </c>
      <c r="E150" s="29">
        <f>IF($B150="","",IFERROR(INDEX(機種マスタ!$C$4:$C$203,MATCH($B150,機種マスタ!$B$4:$B$203,0)),"-"))</f>
        <v/>
      </c>
      <c r="F150" s="29">
        <f>IF($B150="","",IFERROR(N(INDEX(機種マスタ!$D$4:$D$203,MATCH($B150,機種マスタ!$B$4:$B$203,0))),0))</f>
        <v/>
      </c>
      <c r="G150" s="29">
        <f>IF($B150="","",IF($C150="",1,$C150))</f>
        <v/>
      </c>
      <c r="H150" s="29">
        <f>IF($B150="","",F150*G150)</f>
        <v/>
      </c>
    </row>
    <row r="151">
      <c r="A151" s="40" t="n"/>
      <c r="B151" s="41" t="n"/>
      <c r="C151" s="42" t="n"/>
      <c r="D151" s="29">
        <f>IF($B151="","",IFERROR(INDEX(機種マスタ!$A$4:$A$203,MATCH($B151,機種マスタ!$B$4:$B$203,0)),"未登録"))</f>
        <v/>
      </c>
      <c r="E151" s="29">
        <f>IF($B151="","",IFERROR(INDEX(機種マスタ!$C$4:$C$203,MATCH($B151,機種マスタ!$B$4:$B$203,0)),"-"))</f>
        <v/>
      </c>
      <c r="F151" s="29">
        <f>IF($B151="","",IFERROR(N(INDEX(機種マスタ!$D$4:$D$203,MATCH($B151,機種マスタ!$B$4:$B$203,0))),0))</f>
        <v/>
      </c>
      <c r="G151" s="29">
        <f>IF($B151="","",IF($C151="",1,$C151))</f>
        <v/>
      </c>
      <c r="H151" s="29">
        <f>IF($B151="","",F151*G151)</f>
        <v/>
      </c>
    </row>
    <row r="152">
      <c r="A152" s="40" t="n"/>
      <c r="B152" s="41" t="n"/>
      <c r="C152" s="42" t="n"/>
      <c r="D152" s="29">
        <f>IF($B152="","",IFERROR(INDEX(機種マスタ!$A$4:$A$203,MATCH($B152,機種マスタ!$B$4:$B$203,0)),"未登録"))</f>
        <v/>
      </c>
      <c r="E152" s="29">
        <f>IF($B152="","",IFERROR(INDEX(機種マスタ!$C$4:$C$203,MATCH($B152,機種マスタ!$B$4:$B$203,0)),"-"))</f>
        <v/>
      </c>
      <c r="F152" s="29">
        <f>IF($B152="","",IFERROR(N(INDEX(機種マスタ!$D$4:$D$203,MATCH($B152,機種マスタ!$B$4:$B$203,0))),0))</f>
        <v/>
      </c>
      <c r="G152" s="29">
        <f>IF($B152="","",IF($C152="",1,$C152))</f>
        <v/>
      </c>
      <c r="H152" s="29">
        <f>IF($B152="","",F152*G152)</f>
        <v/>
      </c>
    </row>
    <row r="153">
      <c r="A153" s="40" t="n"/>
      <c r="B153" s="41" t="n"/>
      <c r="C153" s="42" t="n"/>
      <c r="D153" s="29">
        <f>IF($B153="","",IFERROR(INDEX(機種マスタ!$A$4:$A$203,MATCH($B153,機種マスタ!$B$4:$B$203,0)),"未登録"))</f>
        <v/>
      </c>
      <c r="E153" s="29">
        <f>IF($B153="","",IFERROR(INDEX(機種マスタ!$C$4:$C$203,MATCH($B153,機種マスタ!$B$4:$B$203,0)),"-"))</f>
        <v/>
      </c>
      <c r="F153" s="29">
        <f>IF($B153="","",IFERROR(N(INDEX(機種マスタ!$D$4:$D$203,MATCH($B153,機種マスタ!$B$4:$B$203,0))),0))</f>
        <v/>
      </c>
      <c r="G153" s="29">
        <f>IF($B153="","",IF($C153="",1,$C153))</f>
        <v/>
      </c>
      <c r="H153" s="29">
        <f>IF($B153="","",F153*G153)</f>
        <v/>
      </c>
    </row>
    <row r="154">
      <c r="A154" s="40" t="n"/>
      <c r="B154" s="41" t="n"/>
      <c r="C154" s="42" t="n"/>
      <c r="D154" s="29">
        <f>IF($B154="","",IFERROR(INDEX(機種マスタ!$A$4:$A$203,MATCH($B154,機種マスタ!$B$4:$B$203,0)),"未登録"))</f>
        <v/>
      </c>
      <c r="E154" s="29">
        <f>IF($B154="","",IFERROR(INDEX(機種マスタ!$C$4:$C$203,MATCH($B154,機種マスタ!$B$4:$B$203,0)),"-"))</f>
        <v/>
      </c>
      <c r="F154" s="29">
        <f>IF($B154="","",IFERROR(N(INDEX(機種マスタ!$D$4:$D$203,MATCH($B154,機種マスタ!$B$4:$B$203,0))),0))</f>
        <v/>
      </c>
      <c r="G154" s="29">
        <f>IF($B154="","",IF($C154="",1,$C154))</f>
        <v/>
      </c>
      <c r="H154" s="29">
        <f>IF($B154="","",F154*G154)</f>
        <v/>
      </c>
    </row>
    <row r="155">
      <c r="A155" s="40" t="n"/>
      <c r="B155" s="41" t="n"/>
      <c r="C155" s="42" t="n"/>
      <c r="D155" s="29">
        <f>IF($B155="","",IFERROR(INDEX(機種マスタ!$A$4:$A$203,MATCH($B155,機種マスタ!$B$4:$B$203,0)),"未登録"))</f>
        <v/>
      </c>
      <c r="E155" s="29">
        <f>IF($B155="","",IFERROR(INDEX(機種マスタ!$C$4:$C$203,MATCH($B155,機種マスタ!$B$4:$B$203,0)),"-"))</f>
        <v/>
      </c>
      <c r="F155" s="29">
        <f>IF($B155="","",IFERROR(N(INDEX(機種マスタ!$D$4:$D$203,MATCH($B155,機種マスタ!$B$4:$B$203,0))),0))</f>
        <v/>
      </c>
      <c r="G155" s="29">
        <f>IF($B155="","",IF($C155="",1,$C155))</f>
        <v/>
      </c>
      <c r="H155" s="29">
        <f>IF($B155="","",F155*G155)</f>
        <v/>
      </c>
    </row>
    <row r="156">
      <c r="A156" s="40" t="n"/>
      <c r="B156" s="41" t="n"/>
      <c r="C156" s="42" t="n"/>
      <c r="D156" s="29">
        <f>IF($B156="","",IFERROR(INDEX(機種マスタ!$A$4:$A$203,MATCH($B156,機種マスタ!$B$4:$B$203,0)),"未登録"))</f>
        <v/>
      </c>
      <c r="E156" s="29">
        <f>IF($B156="","",IFERROR(INDEX(機種マスタ!$C$4:$C$203,MATCH($B156,機種マスタ!$B$4:$B$203,0)),"-"))</f>
        <v/>
      </c>
      <c r="F156" s="29">
        <f>IF($B156="","",IFERROR(N(INDEX(機種マスタ!$D$4:$D$203,MATCH($B156,機種マスタ!$B$4:$B$203,0))),0))</f>
        <v/>
      </c>
      <c r="G156" s="29">
        <f>IF($B156="","",IF($C156="",1,$C156))</f>
        <v/>
      </c>
      <c r="H156" s="29">
        <f>IF($B156="","",F156*G156)</f>
        <v/>
      </c>
    </row>
    <row r="157">
      <c r="A157" s="40" t="n"/>
      <c r="B157" s="41" t="n"/>
      <c r="C157" s="42" t="n"/>
      <c r="D157" s="29">
        <f>IF($B157="","",IFERROR(INDEX(機種マスタ!$A$4:$A$203,MATCH($B157,機種マスタ!$B$4:$B$203,0)),"未登録"))</f>
        <v/>
      </c>
      <c r="E157" s="29">
        <f>IF($B157="","",IFERROR(INDEX(機種マスタ!$C$4:$C$203,MATCH($B157,機種マスタ!$B$4:$B$203,0)),"-"))</f>
        <v/>
      </c>
      <c r="F157" s="29">
        <f>IF($B157="","",IFERROR(N(INDEX(機種マスタ!$D$4:$D$203,MATCH($B157,機種マスタ!$B$4:$B$203,0))),0))</f>
        <v/>
      </c>
      <c r="G157" s="29">
        <f>IF($B157="","",IF($C157="",1,$C157))</f>
        <v/>
      </c>
      <c r="H157" s="29">
        <f>IF($B157="","",F157*G157)</f>
        <v/>
      </c>
    </row>
    <row r="158">
      <c r="A158" s="40" t="n"/>
      <c r="B158" s="41" t="n"/>
      <c r="C158" s="42" t="n"/>
      <c r="D158" s="29">
        <f>IF($B158="","",IFERROR(INDEX(機種マスタ!$A$4:$A$203,MATCH($B158,機種マスタ!$B$4:$B$203,0)),"未登録"))</f>
        <v/>
      </c>
      <c r="E158" s="29">
        <f>IF($B158="","",IFERROR(INDEX(機種マスタ!$C$4:$C$203,MATCH($B158,機種マスタ!$B$4:$B$203,0)),"-"))</f>
        <v/>
      </c>
      <c r="F158" s="29">
        <f>IF($B158="","",IFERROR(N(INDEX(機種マスタ!$D$4:$D$203,MATCH($B158,機種マスタ!$B$4:$B$203,0))),0))</f>
        <v/>
      </c>
      <c r="G158" s="29">
        <f>IF($B158="","",IF($C158="",1,$C158))</f>
        <v/>
      </c>
      <c r="H158" s="29">
        <f>IF($B158="","",F158*G158)</f>
        <v/>
      </c>
    </row>
    <row r="159">
      <c r="A159" s="40" t="n"/>
      <c r="B159" s="41" t="n"/>
      <c r="C159" s="42" t="n"/>
      <c r="D159" s="29">
        <f>IF($B159="","",IFERROR(INDEX(機種マスタ!$A$4:$A$203,MATCH($B159,機種マスタ!$B$4:$B$203,0)),"未登録"))</f>
        <v/>
      </c>
      <c r="E159" s="29">
        <f>IF($B159="","",IFERROR(INDEX(機種マスタ!$C$4:$C$203,MATCH($B159,機種マスタ!$B$4:$B$203,0)),"-"))</f>
        <v/>
      </c>
      <c r="F159" s="29">
        <f>IF($B159="","",IFERROR(N(INDEX(機種マスタ!$D$4:$D$203,MATCH($B159,機種マスタ!$B$4:$B$203,0))),0))</f>
        <v/>
      </c>
      <c r="G159" s="29">
        <f>IF($B159="","",IF($C159="",1,$C159))</f>
        <v/>
      </c>
      <c r="H159" s="29">
        <f>IF($B159="","",F159*G159)</f>
        <v/>
      </c>
    </row>
    <row r="160">
      <c r="A160" s="40" t="n"/>
      <c r="B160" s="41" t="n"/>
      <c r="C160" s="42" t="n"/>
      <c r="D160" s="29">
        <f>IF($B160="","",IFERROR(INDEX(機種マスタ!$A$4:$A$203,MATCH($B160,機種マスタ!$B$4:$B$203,0)),"未登録"))</f>
        <v/>
      </c>
      <c r="E160" s="29">
        <f>IF($B160="","",IFERROR(INDEX(機種マスタ!$C$4:$C$203,MATCH($B160,機種マスタ!$B$4:$B$203,0)),"-"))</f>
        <v/>
      </c>
      <c r="F160" s="29">
        <f>IF($B160="","",IFERROR(N(INDEX(機種マスタ!$D$4:$D$203,MATCH($B160,機種マスタ!$B$4:$B$203,0))),0))</f>
        <v/>
      </c>
      <c r="G160" s="29">
        <f>IF($B160="","",IF($C160="",1,$C160))</f>
        <v/>
      </c>
      <c r="H160" s="29">
        <f>IF($B160="","",F160*G160)</f>
        <v/>
      </c>
    </row>
    <row r="161">
      <c r="A161" s="40" t="n"/>
      <c r="B161" s="41" t="n"/>
      <c r="C161" s="42" t="n"/>
      <c r="D161" s="29">
        <f>IF($B161="","",IFERROR(INDEX(機種マスタ!$A$4:$A$203,MATCH($B161,機種マスタ!$B$4:$B$203,0)),"未登録"))</f>
        <v/>
      </c>
      <c r="E161" s="29">
        <f>IF($B161="","",IFERROR(INDEX(機種マスタ!$C$4:$C$203,MATCH($B161,機種マスタ!$B$4:$B$203,0)),"-"))</f>
        <v/>
      </c>
      <c r="F161" s="29">
        <f>IF($B161="","",IFERROR(N(INDEX(機種マスタ!$D$4:$D$203,MATCH($B161,機種マスタ!$B$4:$B$203,0))),0))</f>
        <v/>
      </c>
      <c r="G161" s="29">
        <f>IF($B161="","",IF($C161="",1,$C161))</f>
        <v/>
      </c>
      <c r="H161" s="29">
        <f>IF($B161="","",F161*G161)</f>
        <v/>
      </c>
    </row>
    <row r="162">
      <c r="A162" s="40" t="n"/>
      <c r="B162" s="41" t="n"/>
      <c r="C162" s="42" t="n"/>
      <c r="D162" s="29">
        <f>IF($B162="","",IFERROR(INDEX(機種マスタ!$A$4:$A$203,MATCH($B162,機種マスタ!$B$4:$B$203,0)),"未登録"))</f>
        <v/>
      </c>
      <c r="E162" s="29">
        <f>IF($B162="","",IFERROR(INDEX(機種マスタ!$C$4:$C$203,MATCH($B162,機種マスタ!$B$4:$B$203,0)),"-"))</f>
        <v/>
      </c>
      <c r="F162" s="29">
        <f>IF($B162="","",IFERROR(N(INDEX(機種マスタ!$D$4:$D$203,MATCH($B162,機種マスタ!$B$4:$B$203,0))),0))</f>
        <v/>
      </c>
      <c r="G162" s="29">
        <f>IF($B162="","",IF($C162="",1,$C162))</f>
        <v/>
      </c>
      <c r="H162" s="29">
        <f>IF($B162="","",F162*G162)</f>
        <v/>
      </c>
    </row>
    <row r="163">
      <c r="A163" s="40" t="n"/>
      <c r="B163" s="41" t="n"/>
      <c r="C163" s="42" t="n"/>
      <c r="D163" s="29">
        <f>IF($B163="","",IFERROR(INDEX(機種マスタ!$A$4:$A$203,MATCH($B163,機種マスタ!$B$4:$B$203,0)),"未登録"))</f>
        <v/>
      </c>
      <c r="E163" s="29">
        <f>IF($B163="","",IFERROR(INDEX(機種マスタ!$C$4:$C$203,MATCH($B163,機種マスタ!$B$4:$B$203,0)),"-"))</f>
        <v/>
      </c>
      <c r="F163" s="29">
        <f>IF($B163="","",IFERROR(N(INDEX(機種マスタ!$D$4:$D$203,MATCH($B163,機種マスタ!$B$4:$B$203,0))),0))</f>
        <v/>
      </c>
      <c r="G163" s="29">
        <f>IF($B163="","",IF($C163="",1,$C163))</f>
        <v/>
      </c>
      <c r="H163" s="29">
        <f>IF($B163="","",F163*G163)</f>
        <v/>
      </c>
    </row>
    <row r="164">
      <c r="A164" s="40" t="n"/>
      <c r="B164" s="41" t="n"/>
      <c r="C164" s="42" t="n"/>
      <c r="D164" s="29">
        <f>IF($B164="","",IFERROR(INDEX(機種マスタ!$A$4:$A$203,MATCH($B164,機種マスタ!$B$4:$B$203,0)),"未登録"))</f>
        <v/>
      </c>
      <c r="E164" s="29">
        <f>IF($B164="","",IFERROR(INDEX(機種マスタ!$C$4:$C$203,MATCH($B164,機種マスタ!$B$4:$B$203,0)),"-"))</f>
        <v/>
      </c>
      <c r="F164" s="29">
        <f>IF($B164="","",IFERROR(N(INDEX(機種マスタ!$D$4:$D$203,MATCH($B164,機種マスタ!$B$4:$B$203,0))),0))</f>
        <v/>
      </c>
      <c r="G164" s="29">
        <f>IF($B164="","",IF($C164="",1,$C164))</f>
        <v/>
      </c>
      <c r="H164" s="29">
        <f>IF($B164="","",F164*G164)</f>
        <v/>
      </c>
    </row>
    <row r="165">
      <c r="A165" s="40" t="n"/>
      <c r="B165" s="41" t="n"/>
      <c r="C165" s="42" t="n"/>
      <c r="D165" s="29">
        <f>IF($B165="","",IFERROR(INDEX(機種マスタ!$A$4:$A$203,MATCH($B165,機種マスタ!$B$4:$B$203,0)),"未登録"))</f>
        <v/>
      </c>
      <c r="E165" s="29">
        <f>IF($B165="","",IFERROR(INDEX(機種マスタ!$C$4:$C$203,MATCH($B165,機種マスタ!$B$4:$B$203,0)),"-"))</f>
        <v/>
      </c>
      <c r="F165" s="29">
        <f>IF($B165="","",IFERROR(N(INDEX(機種マスタ!$D$4:$D$203,MATCH($B165,機種マスタ!$B$4:$B$203,0))),0))</f>
        <v/>
      </c>
      <c r="G165" s="29">
        <f>IF($B165="","",IF($C165="",1,$C165))</f>
        <v/>
      </c>
      <c r="H165" s="29">
        <f>IF($B165="","",F165*G165)</f>
        <v/>
      </c>
    </row>
    <row r="166">
      <c r="A166" s="40" t="n"/>
      <c r="B166" s="41" t="n"/>
      <c r="C166" s="42" t="n"/>
      <c r="D166" s="29">
        <f>IF($B166="","",IFERROR(INDEX(機種マスタ!$A$4:$A$203,MATCH($B166,機種マスタ!$B$4:$B$203,0)),"未登録"))</f>
        <v/>
      </c>
      <c r="E166" s="29">
        <f>IF($B166="","",IFERROR(INDEX(機種マスタ!$C$4:$C$203,MATCH($B166,機種マスタ!$B$4:$B$203,0)),"-"))</f>
        <v/>
      </c>
      <c r="F166" s="29">
        <f>IF($B166="","",IFERROR(N(INDEX(機種マスタ!$D$4:$D$203,MATCH($B166,機種マスタ!$B$4:$B$203,0))),0))</f>
        <v/>
      </c>
      <c r="G166" s="29">
        <f>IF($B166="","",IF($C166="",1,$C166))</f>
        <v/>
      </c>
      <c r="H166" s="29">
        <f>IF($B166="","",F166*G166)</f>
        <v/>
      </c>
    </row>
    <row r="167">
      <c r="A167" s="40" t="n"/>
      <c r="B167" s="41" t="n"/>
      <c r="C167" s="42" t="n"/>
      <c r="D167" s="29">
        <f>IF($B167="","",IFERROR(INDEX(機種マスタ!$A$4:$A$203,MATCH($B167,機種マスタ!$B$4:$B$203,0)),"未登録"))</f>
        <v/>
      </c>
      <c r="E167" s="29">
        <f>IF($B167="","",IFERROR(INDEX(機種マスタ!$C$4:$C$203,MATCH($B167,機種マスタ!$B$4:$B$203,0)),"-"))</f>
        <v/>
      </c>
      <c r="F167" s="29">
        <f>IF($B167="","",IFERROR(N(INDEX(機種マスタ!$D$4:$D$203,MATCH($B167,機種マスタ!$B$4:$B$203,0))),0))</f>
        <v/>
      </c>
      <c r="G167" s="29">
        <f>IF($B167="","",IF($C167="",1,$C167))</f>
        <v/>
      </c>
      <c r="H167" s="29">
        <f>IF($B167="","",F167*G167)</f>
        <v/>
      </c>
    </row>
    <row r="168">
      <c r="A168" s="40" t="n"/>
      <c r="B168" s="41" t="n"/>
      <c r="C168" s="42" t="n"/>
      <c r="D168" s="29">
        <f>IF($B168="","",IFERROR(INDEX(機種マスタ!$A$4:$A$203,MATCH($B168,機種マスタ!$B$4:$B$203,0)),"未登録"))</f>
        <v/>
      </c>
      <c r="E168" s="29">
        <f>IF($B168="","",IFERROR(INDEX(機種マスタ!$C$4:$C$203,MATCH($B168,機種マスタ!$B$4:$B$203,0)),"-"))</f>
        <v/>
      </c>
      <c r="F168" s="29">
        <f>IF($B168="","",IFERROR(N(INDEX(機種マスタ!$D$4:$D$203,MATCH($B168,機種マスタ!$B$4:$B$203,0))),0))</f>
        <v/>
      </c>
      <c r="G168" s="29">
        <f>IF($B168="","",IF($C168="",1,$C168))</f>
        <v/>
      </c>
      <c r="H168" s="29">
        <f>IF($B168="","",F168*G168)</f>
        <v/>
      </c>
    </row>
    <row r="169">
      <c r="A169" s="40" t="n"/>
      <c r="B169" s="41" t="n"/>
      <c r="C169" s="42" t="n"/>
      <c r="D169" s="29">
        <f>IF($B169="","",IFERROR(INDEX(機種マスタ!$A$4:$A$203,MATCH($B169,機種マスタ!$B$4:$B$203,0)),"未登録"))</f>
        <v/>
      </c>
      <c r="E169" s="29">
        <f>IF($B169="","",IFERROR(INDEX(機種マスタ!$C$4:$C$203,MATCH($B169,機種マスタ!$B$4:$B$203,0)),"-"))</f>
        <v/>
      </c>
      <c r="F169" s="29">
        <f>IF($B169="","",IFERROR(N(INDEX(機種マスタ!$D$4:$D$203,MATCH($B169,機種マスタ!$B$4:$B$203,0))),0))</f>
        <v/>
      </c>
      <c r="G169" s="29">
        <f>IF($B169="","",IF($C169="",1,$C169))</f>
        <v/>
      </c>
      <c r="H169" s="29">
        <f>IF($B169="","",F169*G169)</f>
        <v/>
      </c>
    </row>
    <row r="170">
      <c r="A170" s="40" t="n"/>
      <c r="B170" s="41" t="n"/>
      <c r="C170" s="42" t="n"/>
      <c r="D170" s="29">
        <f>IF($B170="","",IFERROR(INDEX(機種マスタ!$A$4:$A$203,MATCH($B170,機種マスタ!$B$4:$B$203,0)),"未登録"))</f>
        <v/>
      </c>
      <c r="E170" s="29">
        <f>IF($B170="","",IFERROR(INDEX(機種マスタ!$C$4:$C$203,MATCH($B170,機種マスタ!$B$4:$B$203,0)),"-"))</f>
        <v/>
      </c>
      <c r="F170" s="29">
        <f>IF($B170="","",IFERROR(N(INDEX(機種マスタ!$D$4:$D$203,MATCH($B170,機種マスタ!$B$4:$B$203,0))),0))</f>
        <v/>
      </c>
      <c r="G170" s="29">
        <f>IF($B170="","",IF($C170="",1,$C170))</f>
        <v/>
      </c>
      <c r="H170" s="29">
        <f>IF($B170="","",F170*G170)</f>
        <v/>
      </c>
    </row>
    <row r="171">
      <c r="A171" s="40" t="n"/>
      <c r="B171" s="41" t="n"/>
      <c r="C171" s="42" t="n"/>
      <c r="D171" s="29">
        <f>IF($B171="","",IFERROR(INDEX(機種マスタ!$A$4:$A$203,MATCH($B171,機種マスタ!$B$4:$B$203,0)),"未登録"))</f>
        <v/>
      </c>
      <c r="E171" s="29">
        <f>IF($B171="","",IFERROR(INDEX(機種マスタ!$C$4:$C$203,MATCH($B171,機種マスタ!$B$4:$B$203,0)),"-"))</f>
        <v/>
      </c>
      <c r="F171" s="29">
        <f>IF($B171="","",IFERROR(N(INDEX(機種マスタ!$D$4:$D$203,MATCH($B171,機種マスタ!$B$4:$B$203,0))),0))</f>
        <v/>
      </c>
      <c r="G171" s="29">
        <f>IF($B171="","",IF($C171="",1,$C171))</f>
        <v/>
      </c>
      <c r="H171" s="29">
        <f>IF($B171="","",F171*G171)</f>
        <v/>
      </c>
    </row>
    <row r="172">
      <c r="A172" s="40" t="n"/>
      <c r="B172" s="41" t="n"/>
      <c r="C172" s="42" t="n"/>
      <c r="D172" s="29">
        <f>IF($B172="","",IFERROR(INDEX(機種マスタ!$A$4:$A$203,MATCH($B172,機種マスタ!$B$4:$B$203,0)),"未登録"))</f>
        <v/>
      </c>
      <c r="E172" s="29">
        <f>IF($B172="","",IFERROR(INDEX(機種マスタ!$C$4:$C$203,MATCH($B172,機種マスタ!$B$4:$B$203,0)),"-"))</f>
        <v/>
      </c>
      <c r="F172" s="29">
        <f>IF($B172="","",IFERROR(N(INDEX(機種マスタ!$D$4:$D$203,MATCH($B172,機種マスタ!$B$4:$B$203,0))),0))</f>
        <v/>
      </c>
      <c r="G172" s="29">
        <f>IF($B172="","",IF($C172="",1,$C172))</f>
        <v/>
      </c>
      <c r="H172" s="29">
        <f>IF($B172="","",F172*G172)</f>
        <v/>
      </c>
    </row>
    <row r="173">
      <c r="A173" s="40" t="n"/>
      <c r="B173" s="41" t="n"/>
      <c r="C173" s="42" t="n"/>
      <c r="D173" s="29">
        <f>IF($B173="","",IFERROR(INDEX(機種マスタ!$A$4:$A$203,MATCH($B173,機種マスタ!$B$4:$B$203,0)),"未登録"))</f>
        <v/>
      </c>
      <c r="E173" s="29">
        <f>IF($B173="","",IFERROR(INDEX(機種マスタ!$C$4:$C$203,MATCH($B173,機種マスタ!$B$4:$B$203,0)),"-"))</f>
        <v/>
      </c>
      <c r="F173" s="29">
        <f>IF($B173="","",IFERROR(N(INDEX(機種マスタ!$D$4:$D$203,MATCH($B173,機種マスタ!$B$4:$B$203,0))),0))</f>
        <v/>
      </c>
      <c r="G173" s="29">
        <f>IF($B173="","",IF($C173="",1,$C173))</f>
        <v/>
      </c>
      <c r="H173" s="29">
        <f>IF($B173="","",F173*G173)</f>
        <v/>
      </c>
    </row>
    <row r="174">
      <c r="A174" s="40" t="n"/>
      <c r="B174" s="41" t="n"/>
      <c r="C174" s="42" t="n"/>
      <c r="D174" s="29">
        <f>IF($B174="","",IFERROR(INDEX(機種マスタ!$A$4:$A$203,MATCH($B174,機種マスタ!$B$4:$B$203,0)),"未登録"))</f>
        <v/>
      </c>
      <c r="E174" s="29">
        <f>IF($B174="","",IFERROR(INDEX(機種マスタ!$C$4:$C$203,MATCH($B174,機種マスタ!$B$4:$B$203,0)),"-"))</f>
        <v/>
      </c>
      <c r="F174" s="29">
        <f>IF($B174="","",IFERROR(N(INDEX(機種マスタ!$D$4:$D$203,MATCH($B174,機種マスタ!$B$4:$B$203,0))),0))</f>
        <v/>
      </c>
      <c r="G174" s="29">
        <f>IF($B174="","",IF($C174="",1,$C174))</f>
        <v/>
      </c>
      <c r="H174" s="29">
        <f>IF($B174="","",F174*G174)</f>
        <v/>
      </c>
    </row>
    <row r="175">
      <c r="A175" s="40" t="n"/>
      <c r="B175" s="41" t="n"/>
      <c r="C175" s="42" t="n"/>
      <c r="D175" s="29">
        <f>IF($B175="","",IFERROR(INDEX(機種マスタ!$A$4:$A$203,MATCH($B175,機種マスタ!$B$4:$B$203,0)),"未登録"))</f>
        <v/>
      </c>
      <c r="E175" s="29">
        <f>IF($B175="","",IFERROR(INDEX(機種マスタ!$C$4:$C$203,MATCH($B175,機種マスタ!$B$4:$B$203,0)),"-"))</f>
        <v/>
      </c>
      <c r="F175" s="29">
        <f>IF($B175="","",IFERROR(N(INDEX(機種マスタ!$D$4:$D$203,MATCH($B175,機種マスタ!$B$4:$B$203,0))),0))</f>
        <v/>
      </c>
      <c r="G175" s="29">
        <f>IF($B175="","",IF($C175="",1,$C175))</f>
        <v/>
      </c>
      <c r="H175" s="29">
        <f>IF($B175="","",F175*G175)</f>
        <v/>
      </c>
    </row>
    <row r="176">
      <c r="A176" s="40" t="n"/>
      <c r="B176" s="41" t="n"/>
      <c r="C176" s="42" t="n"/>
      <c r="D176" s="29">
        <f>IF($B176="","",IFERROR(INDEX(機種マスタ!$A$4:$A$203,MATCH($B176,機種マスタ!$B$4:$B$203,0)),"未登録"))</f>
        <v/>
      </c>
      <c r="E176" s="29">
        <f>IF($B176="","",IFERROR(INDEX(機種マスタ!$C$4:$C$203,MATCH($B176,機種マスタ!$B$4:$B$203,0)),"-"))</f>
        <v/>
      </c>
      <c r="F176" s="29">
        <f>IF($B176="","",IFERROR(N(INDEX(機種マスタ!$D$4:$D$203,MATCH($B176,機種マスタ!$B$4:$B$203,0))),0))</f>
        <v/>
      </c>
      <c r="G176" s="29">
        <f>IF($B176="","",IF($C176="",1,$C176))</f>
        <v/>
      </c>
      <c r="H176" s="29">
        <f>IF($B176="","",F176*G176)</f>
        <v/>
      </c>
    </row>
    <row r="177">
      <c r="A177" s="40" t="n"/>
      <c r="B177" s="41" t="n"/>
      <c r="C177" s="42" t="n"/>
      <c r="D177" s="29">
        <f>IF($B177="","",IFERROR(INDEX(機種マスタ!$A$4:$A$203,MATCH($B177,機種マスタ!$B$4:$B$203,0)),"未登録"))</f>
        <v/>
      </c>
      <c r="E177" s="29">
        <f>IF($B177="","",IFERROR(INDEX(機種マスタ!$C$4:$C$203,MATCH($B177,機種マスタ!$B$4:$B$203,0)),"-"))</f>
        <v/>
      </c>
      <c r="F177" s="29">
        <f>IF($B177="","",IFERROR(N(INDEX(機種マスタ!$D$4:$D$203,MATCH($B177,機種マスタ!$B$4:$B$203,0))),0))</f>
        <v/>
      </c>
      <c r="G177" s="29">
        <f>IF($B177="","",IF($C177="",1,$C177))</f>
        <v/>
      </c>
      <c r="H177" s="29">
        <f>IF($B177="","",F177*G177)</f>
        <v/>
      </c>
    </row>
    <row r="178">
      <c r="A178" s="40" t="n"/>
      <c r="B178" s="41" t="n"/>
      <c r="C178" s="42" t="n"/>
      <c r="D178" s="29">
        <f>IF($B178="","",IFERROR(INDEX(機種マスタ!$A$4:$A$203,MATCH($B178,機種マスタ!$B$4:$B$203,0)),"未登録"))</f>
        <v/>
      </c>
      <c r="E178" s="29">
        <f>IF($B178="","",IFERROR(INDEX(機種マスタ!$C$4:$C$203,MATCH($B178,機種マスタ!$B$4:$B$203,0)),"-"))</f>
        <v/>
      </c>
      <c r="F178" s="29">
        <f>IF($B178="","",IFERROR(N(INDEX(機種マスタ!$D$4:$D$203,MATCH($B178,機種マスタ!$B$4:$B$203,0))),0))</f>
        <v/>
      </c>
      <c r="G178" s="29">
        <f>IF($B178="","",IF($C178="",1,$C178))</f>
        <v/>
      </c>
      <c r="H178" s="29">
        <f>IF($B178="","",F178*G178)</f>
        <v/>
      </c>
    </row>
    <row r="179">
      <c r="A179" s="40" t="n"/>
      <c r="B179" s="41" t="n"/>
      <c r="C179" s="42" t="n"/>
      <c r="D179" s="29">
        <f>IF($B179="","",IFERROR(INDEX(機種マスタ!$A$4:$A$203,MATCH($B179,機種マスタ!$B$4:$B$203,0)),"未登録"))</f>
        <v/>
      </c>
      <c r="E179" s="29">
        <f>IF($B179="","",IFERROR(INDEX(機種マスタ!$C$4:$C$203,MATCH($B179,機種マスタ!$B$4:$B$203,0)),"-"))</f>
        <v/>
      </c>
      <c r="F179" s="29">
        <f>IF($B179="","",IFERROR(N(INDEX(機種マスタ!$D$4:$D$203,MATCH($B179,機種マスタ!$B$4:$B$203,0))),0))</f>
        <v/>
      </c>
      <c r="G179" s="29">
        <f>IF($B179="","",IF($C179="",1,$C179))</f>
        <v/>
      </c>
      <c r="H179" s="29">
        <f>IF($B179="","",F179*G179)</f>
        <v/>
      </c>
    </row>
    <row r="180">
      <c r="A180" s="40" t="n"/>
      <c r="B180" s="41" t="n"/>
      <c r="C180" s="42" t="n"/>
      <c r="D180" s="29">
        <f>IF($B180="","",IFERROR(INDEX(機種マスタ!$A$4:$A$203,MATCH($B180,機種マスタ!$B$4:$B$203,0)),"未登録"))</f>
        <v/>
      </c>
      <c r="E180" s="29">
        <f>IF($B180="","",IFERROR(INDEX(機種マスタ!$C$4:$C$203,MATCH($B180,機種マスタ!$B$4:$B$203,0)),"-"))</f>
        <v/>
      </c>
      <c r="F180" s="29">
        <f>IF($B180="","",IFERROR(N(INDEX(機種マスタ!$D$4:$D$203,MATCH($B180,機種マスタ!$B$4:$B$203,0))),0))</f>
        <v/>
      </c>
      <c r="G180" s="29">
        <f>IF($B180="","",IF($C180="",1,$C180))</f>
        <v/>
      </c>
      <c r="H180" s="29">
        <f>IF($B180="","",F180*G180)</f>
        <v/>
      </c>
    </row>
    <row r="181">
      <c r="A181" s="40" t="n"/>
      <c r="B181" s="41" t="n"/>
      <c r="C181" s="42" t="n"/>
      <c r="D181" s="29">
        <f>IF($B181="","",IFERROR(INDEX(機種マスタ!$A$4:$A$203,MATCH($B181,機種マスタ!$B$4:$B$203,0)),"未登録"))</f>
        <v/>
      </c>
      <c r="E181" s="29">
        <f>IF($B181="","",IFERROR(INDEX(機種マスタ!$C$4:$C$203,MATCH($B181,機種マスタ!$B$4:$B$203,0)),"-"))</f>
        <v/>
      </c>
      <c r="F181" s="29">
        <f>IF($B181="","",IFERROR(N(INDEX(機種マスタ!$D$4:$D$203,MATCH($B181,機種マスタ!$B$4:$B$203,0))),0))</f>
        <v/>
      </c>
      <c r="G181" s="29">
        <f>IF($B181="","",IF($C181="",1,$C181))</f>
        <v/>
      </c>
      <c r="H181" s="29">
        <f>IF($B181="","",F181*G181)</f>
        <v/>
      </c>
    </row>
    <row r="182">
      <c r="A182" s="40" t="n"/>
      <c r="B182" s="41" t="n"/>
      <c r="C182" s="42" t="n"/>
      <c r="D182" s="29">
        <f>IF($B182="","",IFERROR(INDEX(機種マスタ!$A$4:$A$203,MATCH($B182,機種マスタ!$B$4:$B$203,0)),"未登録"))</f>
        <v/>
      </c>
      <c r="E182" s="29">
        <f>IF($B182="","",IFERROR(INDEX(機種マスタ!$C$4:$C$203,MATCH($B182,機種マスタ!$B$4:$B$203,0)),"-"))</f>
        <v/>
      </c>
      <c r="F182" s="29">
        <f>IF($B182="","",IFERROR(N(INDEX(機種マスタ!$D$4:$D$203,MATCH($B182,機種マスタ!$B$4:$B$203,0))),0))</f>
        <v/>
      </c>
      <c r="G182" s="29">
        <f>IF($B182="","",IF($C182="",1,$C182))</f>
        <v/>
      </c>
      <c r="H182" s="29">
        <f>IF($B182="","",F182*G182)</f>
        <v/>
      </c>
    </row>
    <row r="183">
      <c r="A183" s="40" t="n"/>
      <c r="B183" s="41" t="n"/>
      <c r="C183" s="42" t="n"/>
      <c r="D183" s="29">
        <f>IF($B183="","",IFERROR(INDEX(機種マスタ!$A$4:$A$203,MATCH($B183,機種マスタ!$B$4:$B$203,0)),"未登録"))</f>
        <v/>
      </c>
      <c r="E183" s="29">
        <f>IF($B183="","",IFERROR(INDEX(機種マスタ!$C$4:$C$203,MATCH($B183,機種マスタ!$B$4:$B$203,0)),"-"))</f>
        <v/>
      </c>
      <c r="F183" s="29">
        <f>IF($B183="","",IFERROR(N(INDEX(機種マスタ!$D$4:$D$203,MATCH($B183,機種マスタ!$B$4:$B$203,0))),0))</f>
        <v/>
      </c>
      <c r="G183" s="29">
        <f>IF($B183="","",IF($C183="",1,$C183))</f>
        <v/>
      </c>
      <c r="H183" s="29">
        <f>IF($B183="","",F183*G183)</f>
        <v/>
      </c>
    </row>
    <row r="184">
      <c r="A184" s="40" t="n"/>
      <c r="B184" s="41" t="n"/>
      <c r="C184" s="42" t="n"/>
      <c r="D184" s="29">
        <f>IF($B184="","",IFERROR(INDEX(機種マスタ!$A$4:$A$203,MATCH($B184,機種マスタ!$B$4:$B$203,0)),"未登録"))</f>
        <v/>
      </c>
      <c r="E184" s="29">
        <f>IF($B184="","",IFERROR(INDEX(機種マスタ!$C$4:$C$203,MATCH($B184,機種マスタ!$B$4:$B$203,0)),"-"))</f>
        <v/>
      </c>
      <c r="F184" s="29">
        <f>IF($B184="","",IFERROR(N(INDEX(機種マスタ!$D$4:$D$203,MATCH($B184,機種マスタ!$B$4:$B$203,0))),0))</f>
        <v/>
      </c>
      <c r="G184" s="29">
        <f>IF($B184="","",IF($C184="",1,$C184))</f>
        <v/>
      </c>
      <c r="H184" s="29">
        <f>IF($B184="","",F184*G184)</f>
        <v/>
      </c>
    </row>
    <row r="185">
      <c r="A185" s="40" t="n"/>
      <c r="B185" s="41" t="n"/>
      <c r="C185" s="42" t="n"/>
      <c r="D185" s="29">
        <f>IF($B185="","",IFERROR(INDEX(機種マスタ!$A$4:$A$203,MATCH($B185,機種マスタ!$B$4:$B$203,0)),"未登録"))</f>
        <v/>
      </c>
      <c r="E185" s="29">
        <f>IF($B185="","",IFERROR(INDEX(機種マスタ!$C$4:$C$203,MATCH($B185,機種マスタ!$B$4:$B$203,0)),"-"))</f>
        <v/>
      </c>
      <c r="F185" s="29">
        <f>IF($B185="","",IFERROR(N(INDEX(機種マスタ!$D$4:$D$203,MATCH($B185,機種マスタ!$B$4:$B$203,0))),0))</f>
        <v/>
      </c>
      <c r="G185" s="29">
        <f>IF($B185="","",IF($C185="",1,$C185))</f>
        <v/>
      </c>
      <c r="H185" s="29">
        <f>IF($B185="","",F185*G185)</f>
        <v/>
      </c>
    </row>
    <row r="186">
      <c r="A186" s="40" t="n"/>
      <c r="B186" s="41" t="n"/>
      <c r="C186" s="42" t="n"/>
      <c r="D186" s="29">
        <f>IF($B186="","",IFERROR(INDEX(機種マスタ!$A$4:$A$203,MATCH($B186,機種マスタ!$B$4:$B$203,0)),"未登録"))</f>
        <v/>
      </c>
      <c r="E186" s="29">
        <f>IF($B186="","",IFERROR(INDEX(機種マスタ!$C$4:$C$203,MATCH($B186,機種マスタ!$B$4:$B$203,0)),"-"))</f>
        <v/>
      </c>
      <c r="F186" s="29">
        <f>IF($B186="","",IFERROR(N(INDEX(機種マスタ!$D$4:$D$203,MATCH($B186,機種マスタ!$B$4:$B$203,0))),0))</f>
        <v/>
      </c>
      <c r="G186" s="29">
        <f>IF($B186="","",IF($C186="",1,$C186))</f>
        <v/>
      </c>
      <c r="H186" s="29">
        <f>IF($B186="","",F186*G186)</f>
        <v/>
      </c>
    </row>
    <row r="187">
      <c r="A187" s="40" t="n"/>
      <c r="B187" s="41" t="n"/>
      <c r="C187" s="42" t="n"/>
      <c r="D187" s="29">
        <f>IF($B187="","",IFERROR(INDEX(機種マスタ!$A$4:$A$203,MATCH($B187,機種マスタ!$B$4:$B$203,0)),"未登録"))</f>
        <v/>
      </c>
      <c r="E187" s="29">
        <f>IF($B187="","",IFERROR(INDEX(機種マスタ!$C$4:$C$203,MATCH($B187,機種マスタ!$B$4:$B$203,0)),"-"))</f>
        <v/>
      </c>
      <c r="F187" s="29">
        <f>IF($B187="","",IFERROR(N(INDEX(機種マスタ!$D$4:$D$203,MATCH($B187,機種マスタ!$B$4:$B$203,0))),0))</f>
        <v/>
      </c>
      <c r="G187" s="29">
        <f>IF($B187="","",IF($C187="",1,$C187))</f>
        <v/>
      </c>
      <c r="H187" s="29">
        <f>IF($B187="","",F187*G187)</f>
        <v/>
      </c>
    </row>
    <row r="188">
      <c r="A188" s="40" t="n"/>
      <c r="B188" s="41" t="n"/>
      <c r="C188" s="42" t="n"/>
      <c r="D188" s="29">
        <f>IF($B188="","",IFERROR(INDEX(機種マスタ!$A$4:$A$203,MATCH($B188,機種マスタ!$B$4:$B$203,0)),"未登録"))</f>
        <v/>
      </c>
      <c r="E188" s="29">
        <f>IF($B188="","",IFERROR(INDEX(機種マスタ!$C$4:$C$203,MATCH($B188,機種マスタ!$B$4:$B$203,0)),"-"))</f>
        <v/>
      </c>
      <c r="F188" s="29">
        <f>IF($B188="","",IFERROR(N(INDEX(機種マスタ!$D$4:$D$203,MATCH($B188,機種マスタ!$B$4:$B$203,0))),0))</f>
        <v/>
      </c>
      <c r="G188" s="29">
        <f>IF($B188="","",IF($C188="",1,$C188))</f>
        <v/>
      </c>
      <c r="H188" s="29">
        <f>IF($B188="","",F188*G188)</f>
        <v/>
      </c>
    </row>
    <row r="189">
      <c r="A189" s="40" t="n"/>
      <c r="B189" s="41" t="n"/>
      <c r="C189" s="42" t="n"/>
      <c r="D189" s="29">
        <f>IF($B189="","",IFERROR(INDEX(機種マスタ!$A$4:$A$203,MATCH($B189,機種マスタ!$B$4:$B$203,0)),"未登録"))</f>
        <v/>
      </c>
      <c r="E189" s="29">
        <f>IF($B189="","",IFERROR(INDEX(機種マスタ!$C$4:$C$203,MATCH($B189,機種マスタ!$B$4:$B$203,0)),"-"))</f>
        <v/>
      </c>
      <c r="F189" s="29">
        <f>IF($B189="","",IFERROR(N(INDEX(機種マスタ!$D$4:$D$203,MATCH($B189,機種マスタ!$B$4:$B$203,0))),0))</f>
        <v/>
      </c>
      <c r="G189" s="29">
        <f>IF($B189="","",IF($C189="",1,$C189))</f>
        <v/>
      </c>
      <c r="H189" s="29">
        <f>IF($B189="","",F189*G189)</f>
        <v/>
      </c>
    </row>
    <row r="190">
      <c r="A190" s="40" t="n"/>
      <c r="B190" s="41" t="n"/>
      <c r="C190" s="42" t="n"/>
      <c r="D190" s="29">
        <f>IF($B190="","",IFERROR(INDEX(機種マスタ!$A$4:$A$203,MATCH($B190,機種マスタ!$B$4:$B$203,0)),"未登録"))</f>
        <v/>
      </c>
      <c r="E190" s="29">
        <f>IF($B190="","",IFERROR(INDEX(機種マスタ!$C$4:$C$203,MATCH($B190,機種マスタ!$B$4:$B$203,0)),"-"))</f>
        <v/>
      </c>
      <c r="F190" s="29">
        <f>IF($B190="","",IFERROR(N(INDEX(機種マスタ!$D$4:$D$203,MATCH($B190,機種マスタ!$B$4:$B$203,0))),0))</f>
        <v/>
      </c>
      <c r="G190" s="29">
        <f>IF($B190="","",IF($C190="",1,$C190))</f>
        <v/>
      </c>
      <c r="H190" s="29">
        <f>IF($B190="","",F190*G190)</f>
        <v/>
      </c>
    </row>
    <row r="191">
      <c r="A191" s="40" t="n"/>
      <c r="B191" s="41" t="n"/>
      <c r="C191" s="42" t="n"/>
      <c r="D191" s="29">
        <f>IF($B191="","",IFERROR(INDEX(機種マスタ!$A$4:$A$203,MATCH($B191,機種マスタ!$B$4:$B$203,0)),"未登録"))</f>
        <v/>
      </c>
      <c r="E191" s="29">
        <f>IF($B191="","",IFERROR(INDEX(機種マスタ!$C$4:$C$203,MATCH($B191,機種マスタ!$B$4:$B$203,0)),"-"))</f>
        <v/>
      </c>
      <c r="F191" s="29">
        <f>IF($B191="","",IFERROR(N(INDEX(機種マスタ!$D$4:$D$203,MATCH($B191,機種マスタ!$B$4:$B$203,0))),0))</f>
        <v/>
      </c>
      <c r="G191" s="29">
        <f>IF($B191="","",IF($C191="",1,$C191))</f>
        <v/>
      </c>
      <c r="H191" s="29">
        <f>IF($B191="","",F191*G191)</f>
        <v/>
      </c>
    </row>
    <row r="192">
      <c r="A192" s="40" t="n"/>
      <c r="B192" s="41" t="n"/>
      <c r="C192" s="42" t="n"/>
      <c r="D192" s="29">
        <f>IF($B192="","",IFERROR(INDEX(機種マスタ!$A$4:$A$203,MATCH($B192,機種マスタ!$B$4:$B$203,0)),"未登録"))</f>
        <v/>
      </c>
      <c r="E192" s="29">
        <f>IF($B192="","",IFERROR(INDEX(機種マスタ!$C$4:$C$203,MATCH($B192,機種マスタ!$B$4:$B$203,0)),"-"))</f>
        <v/>
      </c>
      <c r="F192" s="29">
        <f>IF($B192="","",IFERROR(N(INDEX(機種マスタ!$D$4:$D$203,MATCH($B192,機種マスタ!$B$4:$B$203,0))),0))</f>
        <v/>
      </c>
      <c r="G192" s="29">
        <f>IF($B192="","",IF($C192="",1,$C192))</f>
        <v/>
      </c>
      <c r="H192" s="29">
        <f>IF($B192="","",F192*G192)</f>
        <v/>
      </c>
    </row>
    <row r="193">
      <c r="A193" s="40" t="n"/>
      <c r="B193" s="41" t="n"/>
      <c r="C193" s="42" t="n"/>
      <c r="D193" s="29">
        <f>IF($B193="","",IFERROR(INDEX(機種マスタ!$A$4:$A$203,MATCH($B193,機種マスタ!$B$4:$B$203,0)),"未登録"))</f>
        <v/>
      </c>
      <c r="E193" s="29">
        <f>IF($B193="","",IFERROR(INDEX(機種マスタ!$C$4:$C$203,MATCH($B193,機種マスタ!$B$4:$B$203,0)),"-"))</f>
        <v/>
      </c>
      <c r="F193" s="29">
        <f>IF($B193="","",IFERROR(N(INDEX(機種マスタ!$D$4:$D$203,MATCH($B193,機種マスタ!$B$4:$B$203,0))),0))</f>
        <v/>
      </c>
      <c r="G193" s="29">
        <f>IF($B193="","",IF($C193="",1,$C193))</f>
        <v/>
      </c>
      <c r="H193" s="29">
        <f>IF($B193="","",F193*G193)</f>
        <v/>
      </c>
    </row>
    <row r="194">
      <c r="A194" s="40" t="n"/>
      <c r="B194" s="41" t="n"/>
      <c r="C194" s="42" t="n"/>
      <c r="D194" s="29">
        <f>IF($B194="","",IFERROR(INDEX(機種マスタ!$A$4:$A$203,MATCH($B194,機種マスタ!$B$4:$B$203,0)),"未登録"))</f>
        <v/>
      </c>
      <c r="E194" s="29">
        <f>IF($B194="","",IFERROR(INDEX(機種マスタ!$C$4:$C$203,MATCH($B194,機種マスタ!$B$4:$B$203,0)),"-"))</f>
        <v/>
      </c>
      <c r="F194" s="29">
        <f>IF($B194="","",IFERROR(N(INDEX(機種マスタ!$D$4:$D$203,MATCH($B194,機種マスタ!$B$4:$B$203,0))),0))</f>
        <v/>
      </c>
      <c r="G194" s="29">
        <f>IF($B194="","",IF($C194="",1,$C194))</f>
        <v/>
      </c>
      <c r="H194" s="29">
        <f>IF($B194="","",F194*G194)</f>
        <v/>
      </c>
    </row>
    <row r="195">
      <c r="A195" s="40" t="n"/>
      <c r="B195" s="41" t="n"/>
      <c r="C195" s="42" t="n"/>
      <c r="D195" s="29">
        <f>IF($B195="","",IFERROR(INDEX(機種マスタ!$A$4:$A$203,MATCH($B195,機種マスタ!$B$4:$B$203,0)),"未登録"))</f>
        <v/>
      </c>
      <c r="E195" s="29">
        <f>IF($B195="","",IFERROR(INDEX(機種マスタ!$C$4:$C$203,MATCH($B195,機種マスタ!$B$4:$B$203,0)),"-"))</f>
        <v/>
      </c>
      <c r="F195" s="29">
        <f>IF($B195="","",IFERROR(N(INDEX(機種マスタ!$D$4:$D$203,MATCH($B195,機種マスタ!$B$4:$B$203,0))),0))</f>
        <v/>
      </c>
      <c r="G195" s="29">
        <f>IF($B195="","",IF($C195="",1,$C195))</f>
        <v/>
      </c>
      <c r="H195" s="29">
        <f>IF($B195="","",F195*G195)</f>
        <v/>
      </c>
    </row>
    <row r="196">
      <c r="A196" s="40" t="n"/>
      <c r="B196" s="41" t="n"/>
      <c r="C196" s="42" t="n"/>
      <c r="D196" s="29">
        <f>IF($B196="","",IFERROR(INDEX(機種マスタ!$A$4:$A$203,MATCH($B196,機種マスタ!$B$4:$B$203,0)),"未登録"))</f>
        <v/>
      </c>
      <c r="E196" s="29">
        <f>IF($B196="","",IFERROR(INDEX(機種マスタ!$C$4:$C$203,MATCH($B196,機種マスタ!$B$4:$B$203,0)),"-"))</f>
        <v/>
      </c>
      <c r="F196" s="29">
        <f>IF($B196="","",IFERROR(N(INDEX(機種マスタ!$D$4:$D$203,MATCH($B196,機種マスタ!$B$4:$B$203,0))),0))</f>
        <v/>
      </c>
      <c r="G196" s="29">
        <f>IF($B196="","",IF($C196="",1,$C196))</f>
        <v/>
      </c>
      <c r="H196" s="29">
        <f>IF($B196="","",F196*G196)</f>
        <v/>
      </c>
    </row>
    <row r="197">
      <c r="A197" s="40" t="n"/>
      <c r="B197" s="41" t="n"/>
      <c r="C197" s="42" t="n"/>
      <c r="D197" s="29">
        <f>IF($B197="","",IFERROR(INDEX(機種マスタ!$A$4:$A$203,MATCH($B197,機種マスタ!$B$4:$B$203,0)),"未登録"))</f>
        <v/>
      </c>
      <c r="E197" s="29">
        <f>IF($B197="","",IFERROR(INDEX(機種マスタ!$C$4:$C$203,MATCH($B197,機種マスタ!$B$4:$B$203,0)),"-"))</f>
        <v/>
      </c>
      <c r="F197" s="29">
        <f>IF($B197="","",IFERROR(N(INDEX(機種マスタ!$D$4:$D$203,MATCH($B197,機種マスタ!$B$4:$B$203,0))),0))</f>
        <v/>
      </c>
      <c r="G197" s="29">
        <f>IF($B197="","",IF($C197="",1,$C197))</f>
        <v/>
      </c>
      <c r="H197" s="29">
        <f>IF($B197="","",F197*G197)</f>
        <v/>
      </c>
    </row>
    <row r="198">
      <c r="A198" s="40" t="n"/>
      <c r="B198" s="41" t="n"/>
      <c r="C198" s="42" t="n"/>
      <c r="D198" s="29">
        <f>IF($B198="","",IFERROR(INDEX(機種マスタ!$A$4:$A$203,MATCH($B198,機種マスタ!$B$4:$B$203,0)),"未登録"))</f>
        <v/>
      </c>
      <c r="E198" s="29">
        <f>IF($B198="","",IFERROR(INDEX(機種マスタ!$C$4:$C$203,MATCH($B198,機種マスタ!$B$4:$B$203,0)),"-"))</f>
        <v/>
      </c>
      <c r="F198" s="29">
        <f>IF($B198="","",IFERROR(N(INDEX(機種マスタ!$D$4:$D$203,MATCH($B198,機種マスタ!$B$4:$B$203,0))),0))</f>
        <v/>
      </c>
      <c r="G198" s="29">
        <f>IF($B198="","",IF($C198="",1,$C198))</f>
        <v/>
      </c>
      <c r="H198" s="29">
        <f>IF($B198="","",F198*G198)</f>
        <v/>
      </c>
    </row>
    <row r="199">
      <c r="A199" s="40" t="n"/>
      <c r="B199" s="41" t="n"/>
      <c r="C199" s="42" t="n"/>
      <c r="D199" s="29">
        <f>IF($B199="","",IFERROR(INDEX(機種マスタ!$A$4:$A$203,MATCH($B199,機種マスタ!$B$4:$B$203,0)),"未登録"))</f>
        <v/>
      </c>
      <c r="E199" s="29">
        <f>IF($B199="","",IFERROR(INDEX(機種マスタ!$C$4:$C$203,MATCH($B199,機種マスタ!$B$4:$B$203,0)),"-"))</f>
        <v/>
      </c>
      <c r="F199" s="29">
        <f>IF($B199="","",IFERROR(N(INDEX(機種マスタ!$D$4:$D$203,MATCH($B199,機種マスタ!$B$4:$B$203,0))),0))</f>
        <v/>
      </c>
      <c r="G199" s="29">
        <f>IF($B199="","",IF($C199="",1,$C199))</f>
        <v/>
      </c>
      <c r="H199" s="29">
        <f>IF($B199="","",F199*G199)</f>
        <v/>
      </c>
    </row>
    <row r="200">
      <c r="A200" s="40" t="n"/>
      <c r="B200" s="41" t="n"/>
      <c r="C200" s="42" t="n"/>
      <c r="D200" s="29">
        <f>IF($B200="","",IFERROR(INDEX(機種マスタ!$A$4:$A$203,MATCH($B200,機種マスタ!$B$4:$B$203,0)),"未登録"))</f>
        <v/>
      </c>
      <c r="E200" s="29">
        <f>IF($B200="","",IFERROR(INDEX(機種マスタ!$C$4:$C$203,MATCH($B200,機種マスタ!$B$4:$B$203,0)),"-"))</f>
        <v/>
      </c>
      <c r="F200" s="29">
        <f>IF($B200="","",IFERROR(N(INDEX(機種マスタ!$D$4:$D$203,MATCH($B200,機種マスタ!$B$4:$B$203,0))),0))</f>
        <v/>
      </c>
      <c r="G200" s="29">
        <f>IF($B200="","",IF($C200="",1,$C200))</f>
        <v/>
      </c>
      <c r="H200" s="29">
        <f>IF($B200="","",F200*G200)</f>
        <v/>
      </c>
    </row>
    <row r="201">
      <c r="A201" s="40" t="n"/>
      <c r="B201" s="41" t="n"/>
      <c r="C201" s="42" t="n"/>
      <c r="D201" s="29">
        <f>IF($B201="","",IFERROR(INDEX(機種マスタ!$A$4:$A$203,MATCH($B201,機種マスタ!$B$4:$B$203,0)),"未登録"))</f>
        <v/>
      </c>
      <c r="E201" s="29">
        <f>IF($B201="","",IFERROR(INDEX(機種マスタ!$C$4:$C$203,MATCH($B201,機種マスタ!$B$4:$B$203,0)),"-"))</f>
        <v/>
      </c>
      <c r="F201" s="29">
        <f>IF($B201="","",IFERROR(N(INDEX(機種マスタ!$D$4:$D$203,MATCH($B201,機種マスタ!$B$4:$B$203,0))),0))</f>
        <v/>
      </c>
      <c r="G201" s="29">
        <f>IF($B201="","",IF($C201="",1,$C201))</f>
        <v/>
      </c>
      <c r="H201" s="29">
        <f>IF($B201="","",F201*G201)</f>
        <v/>
      </c>
    </row>
    <row r="202">
      <c r="A202" s="40" t="n"/>
      <c r="B202" s="41" t="n"/>
      <c r="C202" s="42" t="n"/>
      <c r="D202" s="29">
        <f>IF($B202="","",IFERROR(INDEX(機種マスタ!$A$4:$A$203,MATCH($B202,機種マスタ!$B$4:$B$203,0)),"未登録"))</f>
        <v/>
      </c>
      <c r="E202" s="29">
        <f>IF($B202="","",IFERROR(INDEX(機種マスタ!$C$4:$C$203,MATCH($B202,機種マスタ!$B$4:$B$203,0)),"-"))</f>
        <v/>
      </c>
      <c r="F202" s="29">
        <f>IF($B202="","",IFERROR(N(INDEX(機種マスタ!$D$4:$D$203,MATCH($B202,機種マスタ!$B$4:$B$203,0))),0))</f>
        <v/>
      </c>
      <c r="G202" s="29">
        <f>IF($B202="","",IF($C202="",1,$C202))</f>
        <v/>
      </c>
      <c r="H202" s="29">
        <f>IF($B202="","",F202*G202)</f>
        <v/>
      </c>
    </row>
    <row r="203">
      <c r="A203" s="40" t="n"/>
      <c r="B203" s="41" t="n"/>
      <c r="C203" s="42" t="n"/>
      <c r="D203" s="29">
        <f>IF($B203="","",IFERROR(INDEX(機種マスタ!$A$4:$A$203,MATCH($B203,機種マスタ!$B$4:$B$203,0)),"未登録"))</f>
        <v/>
      </c>
      <c r="E203" s="29">
        <f>IF($B203="","",IFERROR(INDEX(機種マスタ!$C$4:$C$203,MATCH($B203,機種マスタ!$B$4:$B$203,0)),"-"))</f>
        <v/>
      </c>
      <c r="F203" s="29">
        <f>IF($B203="","",IFERROR(N(INDEX(機種マスタ!$D$4:$D$203,MATCH($B203,機種マスタ!$B$4:$B$203,0))),0))</f>
        <v/>
      </c>
      <c r="G203" s="29">
        <f>IF($B203="","",IF($C203="",1,$C203))</f>
        <v/>
      </c>
      <c r="H203" s="29">
        <f>IF($B203="","",F203*G203)</f>
        <v/>
      </c>
    </row>
    <row r="204">
      <c r="A204" s="40" t="n"/>
      <c r="B204" s="41" t="n"/>
      <c r="C204" s="42" t="n"/>
      <c r="D204" s="29">
        <f>IF($B204="","",IFERROR(INDEX(機種マスタ!$A$4:$A$203,MATCH($B204,機種マスタ!$B$4:$B$203,0)),"未登録"))</f>
        <v/>
      </c>
      <c r="E204" s="29">
        <f>IF($B204="","",IFERROR(INDEX(機種マスタ!$C$4:$C$203,MATCH($B204,機種マスタ!$B$4:$B$203,0)),"-"))</f>
        <v/>
      </c>
      <c r="F204" s="29">
        <f>IF($B204="","",IFERROR(N(INDEX(機種マスタ!$D$4:$D$203,MATCH($B204,機種マスタ!$B$4:$B$203,0))),0))</f>
        <v/>
      </c>
      <c r="G204" s="29">
        <f>IF($B204="","",IF($C204="",1,$C204))</f>
        <v/>
      </c>
      <c r="H204" s="29">
        <f>IF($B204="","",F204*G204)</f>
        <v/>
      </c>
    </row>
    <row r="205">
      <c r="A205" s="40" t="n"/>
      <c r="B205" s="41" t="n"/>
      <c r="C205" s="42" t="n"/>
      <c r="D205" s="29">
        <f>IF($B205="","",IFERROR(INDEX(機種マスタ!$A$4:$A$203,MATCH($B205,機種マスタ!$B$4:$B$203,0)),"未登録"))</f>
        <v/>
      </c>
      <c r="E205" s="29">
        <f>IF($B205="","",IFERROR(INDEX(機種マスタ!$C$4:$C$203,MATCH($B205,機種マスタ!$B$4:$B$203,0)),"-"))</f>
        <v/>
      </c>
      <c r="F205" s="29">
        <f>IF($B205="","",IFERROR(N(INDEX(機種マスタ!$D$4:$D$203,MATCH($B205,機種マスタ!$B$4:$B$203,0))),0))</f>
        <v/>
      </c>
      <c r="G205" s="29">
        <f>IF($B205="","",IF($C205="",1,$C205))</f>
        <v/>
      </c>
      <c r="H205" s="29">
        <f>IF($B205="","",F205*G205)</f>
        <v/>
      </c>
    </row>
    <row r="206">
      <c r="A206" s="40" t="n"/>
      <c r="B206" s="41" t="n"/>
      <c r="C206" s="42" t="n"/>
      <c r="D206" s="29">
        <f>IF($B206="","",IFERROR(INDEX(機種マスタ!$A$4:$A$203,MATCH($B206,機種マスタ!$B$4:$B$203,0)),"未登録"))</f>
        <v/>
      </c>
      <c r="E206" s="29">
        <f>IF($B206="","",IFERROR(INDEX(機種マスタ!$C$4:$C$203,MATCH($B206,機種マスタ!$B$4:$B$203,0)),"-"))</f>
        <v/>
      </c>
      <c r="F206" s="29">
        <f>IF($B206="","",IFERROR(N(INDEX(機種マスタ!$D$4:$D$203,MATCH($B206,機種マスタ!$B$4:$B$203,0))),0))</f>
        <v/>
      </c>
      <c r="G206" s="29">
        <f>IF($B206="","",IF($C206="",1,$C206))</f>
        <v/>
      </c>
      <c r="H206" s="29">
        <f>IF($B206="","",F206*G206)</f>
        <v/>
      </c>
    </row>
    <row r="207">
      <c r="A207" s="40" t="n"/>
      <c r="B207" s="41" t="n"/>
      <c r="C207" s="42" t="n"/>
      <c r="D207" s="29">
        <f>IF($B207="","",IFERROR(INDEX(機種マスタ!$A$4:$A$203,MATCH($B207,機種マスタ!$B$4:$B$203,0)),"未登録"))</f>
        <v/>
      </c>
      <c r="E207" s="29">
        <f>IF($B207="","",IFERROR(INDEX(機種マスタ!$C$4:$C$203,MATCH($B207,機種マスタ!$B$4:$B$203,0)),"-"))</f>
        <v/>
      </c>
      <c r="F207" s="29">
        <f>IF($B207="","",IFERROR(N(INDEX(機種マスタ!$D$4:$D$203,MATCH($B207,機種マスタ!$B$4:$B$203,0))),0))</f>
        <v/>
      </c>
      <c r="G207" s="29">
        <f>IF($B207="","",IF($C207="",1,$C207))</f>
        <v/>
      </c>
      <c r="H207" s="29">
        <f>IF($B207="","",F207*G207)</f>
        <v/>
      </c>
    </row>
    <row r="208">
      <c r="A208" s="40" t="n"/>
      <c r="B208" s="41" t="n"/>
      <c r="C208" s="42" t="n"/>
      <c r="D208" s="29">
        <f>IF($B208="","",IFERROR(INDEX(機種マスタ!$A$4:$A$203,MATCH($B208,機種マスタ!$B$4:$B$203,0)),"未登録"))</f>
        <v/>
      </c>
      <c r="E208" s="29">
        <f>IF($B208="","",IFERROR(INDEX(機種マスタ!$C$4:$C$203,MATCH($B208,機種マスタ!$B$4:$B$203,0)),"-"))</f>
        <v/>
      </c>
      <c r="F208" s="29">
        <f>IF($B208="","",IFERROR(N(INDEX(機種マスタ!$D$4:$D$203,MATCH($B208,機種マスタ!$B$4:$B$203,0))),0))</f>
        <v/>
      </c>
      <c r="G208" s="29">
        <f>IF($B208="","",IF($C208="",1,$C208))</f>
        <v/>
      </c>
      <c r="H208" s="29">
        <f>IF($B208="","",F208*G208)</f>
        <v/>
      </c>
    </row>
    <row r="209">
      <c r="A209" s="40" t="n"/>
      <c r="B209" s="41" t="n"/>
      <c r="C209" s="42" t="n"/>
      <c r="D209" s="29">
        <f>IF($B209="","",IFERROR(INDEX(機種マスタ!$A$4:$A$203,MATCH($B209,機種マスタ!$B$4:$B$203,0)),"未登録"))</f>
        <v/>
      </c>
      <c r="E209" s="29">
        <f>IF($B209="","",IFERROR(INDEX(機種マスタ!$C$4:$C$203,MATCH($B209,機種マスタ!$B$4:$B$203,0)),"-"))</f>
        <v/>
      </c>
      <c r="F209" s="29">
        <f>IF($B209="","",IFERROR(N(INDEX(機種マスタ!$D$4:$D$203,MATCH($B209,機種マスタ!$B$4:$B$203,0))),0))</f>
        <v/>
      </c>
      <c r="G209" s="29">
        <f>IF($B209="","",IF($C209="",1,$C209))</f>
        <v/>
      </c>
      <c r="H209" s="29">
        <f>IF($B209="","",F209*G209)</f>
        <v/>
      </c>
    </row>
    <row r="210">
      <c r="A210" s="40" t="n"/>
      <c r="B210" s="41" t="n"/>
      <c r="C210" s="42" t="n"/>
      <c r="D210" s="29">
        <f>IF($B210="","",IFERROR(INDEX(機種マスタ!$A$4:$A$203,MATCH($B210,機種マスタ!$B$4:$B$203,0)),"未登録"))</f>
        <v/>
      </c>
      <c r="E210" s="29">
        <f>IF($B210="","",IFERROR(INDEX(機種マスタ!$C$4:$C$203,MATCH($B210,機種マスタ!$B$4:$B$203,0)),"-"))</f>
        <v/>
      </c>
      <c r="F210" s="29">
        <f>IF($B210="","",IFERROR(N(INDEX(機種マスタ!$D$4:$D$203,MATCH($B210,機種マスタ!$B$4:$B$203,0))),0))</f>
        <v/>
      </c>
      <c r="G210" s="29">
        <f>IF($B210="","",IF($C210="",1,$C210))</f>
        <v/>
      </c>
      <c r="H210" s="29">
        <f>IF($B210="","",F210*G210)</f>
        <v/>
      </c>
    </row>
    <row r="211">
      <c r="A211" s="40" t="n"/>
      <c r="B211" s="41" t="n"/>
      <c r="C211" s="42" t="n"/>
      <c r="D211" s="29">
        <f>IF($B211="","",IFERROR(INDEX(機種マスタ!$A$4:$A$203,MATCH($B211,機種マスタ!$B$4:$B$203,0)),"未登録"))</f>
        <v/>
      </c>
      <c r="E211" s="29">
        <f>IF($B211="","",IFERROR(INDEX(機種マスタ!$C$4:$C$203,MATCH($B211,機種マスタ!$B$4:$B$203,0)),"-"))</f>
        <v/>
      </c>
      <c r="F211" s="29">
        <f>IF($B211="","",IFERROR(N(INDEX(機種マスタ!$D$4:$D$203,MATCH($B211,機種マスタ!$B$4:$B$203,0))),0))</f>
        <v/>
      </c>
      <c r="G211" s="29">
        <f>IF($B211="","",IF($C211="",1,$C211))</f>
        <v/>
      </c>
      <c r="H211" s="29">
        <f>IF($B211="","",F211*G211)</f>
        <v/>
      </c>
    </row>
    <row r="212">
      <c r="A212" s="40" t="n"/>
      <c r="B212" s="41" t="n"/>
      <c r="C212" s="42" t="n"/>
      <c r="D212" s="29">
        <f>IF($B212="","",IFERROR(INDEX(機種マスタ!$A$4:$A$203,MATCH($B212,機種マスタ!$B$4:$B$203,0)),"未登録"))</f>
        <v/>
      </c>
      <c r="E212" s="29">
        <f>IF($B212="","",IFERROR(INDEX(機種マスタ!$C$4:$C$203,MATCH($B212,機種マスタ!$B$4:$B$203,0)),"-"))</f>
        <v/>
      </c>
      <c r="F212" s="29">
        <f>IF($B212="","",IFERROR(N(INDEX(機種マスタ!$D$4:$D$203,MATCH($B212,機種マスタ!$B$4:$B$203,0))),0))</f>
        <v/>
      </c>
      <c r="G212" s="29">
        <f>IF($B212="","",IF($C212="",1,$C212))</f>
        <v/>
      </c>
      <c r="H212" s="29">
        <f>IF($B212="","",F212*G212)</f>
        <v/>
      </c>
    </row>
    <row r="213">
      <c r="A213" s="40" t="n"/>
      <c r="B213" s="41" t="n"/>
      <c r="C213" s="42" t="n"/>
      <c r="D213" s="29">
        <f>IF($B213="","",IFERROR(INDEX(機種マスタ!$A$4:$A$203,MATCH($B213,機種マスタ!$B$4:$B$203,0)),"未登録"))</f>
        <v/>
      </c>
      <c r="E213" s="29">
        <f>IF($B213="","",IFERROR(INDEX(機種マスタ!$C$4:$C$203,MATCH($B213,機種マスタ!$B$4:$B$203,0)),"-"))</f>
        <v/>
      </c>
      <c r="F213" s="29">
        <f>IF($B213="","",IFERROR(N(INDEX(機種マスタ!$D$4:$D$203,MATCH($B213,機種マスタ!$B$4:$B$203,0))),0))</f>
        <v/>
      </c>
      <c r="G213" s="29">
        <f>IF($B213="","",IF($C213="",1,$C213))</f>
        <v/>
      </c>
      <c r="H213" s="29">
        <f>IF($B213="","",F213*G213)</f>
        <v/>
      </c>
    </row>
    <row r="214">
      <c r="A214" s="40" t="n"/>
      <c r="B214" s="41" t="n"/>
      <c r="C214" s="42" t="n"/>
      <c r="D214" s="29">
        <f>IF($B214="","",IFERROR(INDEX(機種マスタ!$A$4:$A$203,MATCH($B214,機種マスタ!$B$4:$B$203,0)),"未登録"))</f>
        <v/>
      </c>
      <c r="E214" s="29">
        <f>IF($B214="","",IFERROR(INDEX(機種マスタ!$C$4:$C$203,MATCH($B214,機種マスタ!$B$4:$B$203,0)),"-"))</f>
        <v/>
      </c>
      <c r="F214" s="29">
        <f>IF($B214="","",IFERROR(N(INDEX(機種マスタ!$D$4:$D$203,MATCH($B214,機種マスタ!$B$4:$B$203,0))),0))</f>
        <v/>
      </c>
      <c r="G214" s="29">
        <f>IF($B214="","",IF($C214="",1,$C214))</f>
        <v/>
      </c>
      <c r="H214" s="29">
        <f>IF($B214="","",F214*G214)</f>
        <v/>
      </c>
    </row>
    <row r="215">
      <c r="A215" s="40" t="n"/>
      <c r="B215" s="41" t="n"/>
      <c r="C215" s="42" t="n"/>
      <c r="D215" s="29">
        <f>IF($B215="","",IFERROR(INDEX(機種マスタ!$A$4:$A$203,MATCH($B215,機種マスタ!$B$4:$B$203,0)),"未登録"))</f>
        <v/>
      </c>
      <c r="E215" s="29">
        <f>IF($B215="","",IFERROR(INDEX(機種マスタ!$C$4:$C$203,MATCH($B215,機種マスタ!$B$4:$B$203,0)),"-"))</f>
        <v/>
      </c>
      <c r="F215" s="29">
        <f>IF($B215="","",IFERROR(N(INDEX(機種マスタ!$D$4:$D$203,MATCH($B215,機種マスタ!$B$4:$B$203,0))),0))</f>
        <v/>
      </c>
      <c r="G215" s="29">
        <f>IF($B215="","",IF($C215="",1,$C215))</f>
        <v/>
      </c>
      <c r="H215" s="29">
        <f>IF($B215="","",F215*G215)</f>
        <v/>
      </c>
    </row>
    <row r="216">
      <c r="A216" s="40" t="n"/>
      <c r="B216" s="41" t="n"/>
      <c r="C216" s="42" t="n"/>
      <c r="D216" s="29">
        <f>IF($B216="","",IFERROR(INDEX(機種マスタ!$A$4:$A$203,MATCH($B216,機種マスタ!$B$4:$B$203,0)),"未登録"))</f>
        <v/>
      </c>
      <c r="E216" s="29">
        <f>IF($B216="","",IFERROR(INDEX(機種マスタ!$C$4:$C$203,MATCH($B216,機種マスタ!$B$4:$B$203,0)),"-"))</f>
        <v/>
      </c>
      <c r="F216" s="29">
        <f>IF($B216="","",IFERROR(N(INDEX(機種マスタ!$D$4:$D$203,MATCH($B216,機種マスタ!$B$4:$B$203,0))),0))</f>
        <v/>
      </c>
      <c r="G216" s="29">
        <f>IF($B216="","",IF($C216="",1,$C216))</f>
        <v/>
      </c>
      <c r="H216" s="29">
        <f>IF($B216="","",F216*G216)</f>
        <v/>
      </c>
    </row>
    <row r="217">
      <c r="A217" s="40" t="n"/>
      <c r="B217" s="41" t="n"/>
      <c r="C217" s="42" t="n"/>
      <c r="D217" s="29">
        <f>IF($B217="","",IFERROR(INDEX(機種マスタ!$A$4:$A$203,MATCH($B217,機種マスタ!$B$4:$B$203,0)),"未登録"))</f>
        <v/>
      </c>
      <c r="E217" s="29">
        <f>IF($B217="","",IFERROR(INDEX(機種マスタ!$C$4:$C$203,MATCH($B217,機種マスタ!$B$4:$B$203,0)),"-"))</f>
        <v/>
      </c>
      <c r="F217" s="29">
        <f>IF($B217="","",IFERROR(N(INDEX(機種マスタ!$D$4:$D$203,MATCH($B217,機種マスタ!$B$4:$B$203,0))),0))</f>
        <v/>
      </c>
      <c r="G217" s="29">
        <f>IF($B217="","",IF($C217="",1,$C217))</f>
        <v/>
      </c>
      <c r="H217" s="29">
        <f>IF($B217="","",F217*G217)</f>
        <v/>
      </c>
    </row>
    <row r="218">
      <c r="A218" s="40" t="n"/>
      <c r="B218" s="41" t="n"/>
      <c r="C218" s="42" t="n"/>
      <c r="D218" s="29">
        <f>IF($B218="","",IFERROR(INDEX(機種マスタ!$A$4:$A$203,MATCH($B218,機種マスタ!$B$4:$B$203,0)),"未登録"))</f>
        <v/>
      </c>
      <c r="E218" s="29">
        <f>IF($B218="","",IFERROR(INDEX(機種マスタ!$C$4:$C$203,MATCH($B218,機種マスタ!$B$4:$B$203,0)),"-"))</f>
        <v/>
      </c>
      <c r="F218" s="29">
        <f>IF($B218="","",IFERROR(N(INDEX(機種マスタ!$D$4:$D$203,MATCH($B218,機種マスタ!$B$4:$B$203,0))),0))</f>
        <v/>
      </c>
      <c r="G218" s="29">
        <f>IF($B218="","",IF($C218="",1,$C218))</f>
        <v/>
      </c>
      <c r="H218" s="29">
        <f>IF($B218="","",F218*G218)</f>
        <v/>
      </c>
    </row>
    <row r="219">
      <c r="A219" s="40" t="n"/>
      <c r="B219" s="41" t="n"/>
      <c r="C219" s="42" t="n"/>
      <c r="D219" s="29">
        <f>IF($B219="","",IFERROR(INDEX(機種マスタ!$A$4:$A$203,MATCH($B219,機種マスタ!$B$4:$B$203,0)),"未登録"))</f>
        <v/>
      </c>
      <c r="E219" s="29">
        <f>IF($B219="","",IFERROR(INDEX(機種マスタ!$C$4:$C$203,MATCH($B219,機種マスタ!$B$4:$B$203,0)),"-"))</f>
        <v/>
      </c>
      <c r="F219" s="29">
        <f>IF($B219="","",IFERROR(N(INDEX(機種マスタ!$D$4:$D$203,MATCH($B219,機種マスタ!$B$4:$B$203,0))),0))</f>
        <v/>
      </c>
      <c r="G219" s="29">
        <f>IF($B219="","",IF($C219="",1,$C219))</f>
        <v/>
      </c>
      <c r="H219" s="29">
        <f>IF($B219="","",F219*G219)</f>
        <v/>
      </c>
    </row>
    <row r="220">
      <c r="A220" s="40" t="n"/>
      <c r="B220" s="41" t="n"/>
      <c r="C220" s="42" t="n"/>
      <c r="D220" s="29">
        <f>IF($B220="","",IFERROR(INDEX(機種マスタ!$A$4:$A$203,MATCH($B220,機種マスタ!$B$4:$B$203,0)),"未登録"))</f>
        <v/>
      </c>
      <c r="E220" s="29">
        <f>IF($B220="","",IFERROR(INDEX(機種マスタ!$C$4:$C$203,MATCH($B220,機種マスタ!$B$4:$B$203,0)),"-"))</f>
        <v/>
      </c>
      <c r="F220" s="29">
        <f>IF($B220="","",IFERROR(N(INDEX(機種マスタ!$D$4:$D$203,MATCH($B220,機種マスタ!$B$4:$B$203,0))),0))</f>
        <v/>
      </c>
      <c r="G220" s="29">
        <f>IF($B220="","",IF($C220="",1,$C220))</f>
        <v/>
      </c>
      <c r="H220" s="29">
        <f>IF($B220="","",F220*G220)</f>
        <v/>
      </c>
    </row>
    <row r="221">
      <c r="A221" s="40" t="n"/>
      <c r="B221" s="41" t="n"/>
      <c r="C221" s="42" t="n"/>
      <c r="D221" s="29">
        <f>IF($B221="","",IFERROR(INDEX(機種マスタ!$A$4:$A$203,MATCH($B221,機種マスタ!$B$4:$B$203,0)),"未登録"))</f>
        <v/>
      </c>
      <c r="E221" s="29">
        <f>IF($B221="","",IFERROR(INDEX(機種マスタ!$C$4:$C$203,MATCH($B221,機種マスタ!$B$4:$B$203,0)),"-"))</f>
        <v/>
      </c>
      <c r="F221" s="29">
        <f>IF($B221="","",IFERROR(N(INDEX(機種マスタ!$D$4:$D$203,MATCH($B221,機種マスタ!$B$4:$B$203,0))),0))</f>
        <v/>
      </c>
      <c r="G221" s="29">
        <f>IF($B221="","",IF($C221="",1,$C221))</f>
        <v/>
      </c>
      <c r="H221" s="29">
        <f>IF($B221="","",F221*G221)</f>
        <v/>
      </c>
    </row>
    <row r="222">
      <c r="A222" s="40" t="n"/>
      <c r="B222" s="41" t="n"/>
      <c r="C222" s="42" t="n"/>
      <c r="D222" s="29">
        <f>IF($B222="","",IFERROR(INDEX(機種マスタ!$A$4:$A$203,MATCH($B222,機種マスタ!$B$4:$B$203,0)),"未登録"))</f>
        <v/>
      </c>
      <c r="E222" s="29">
        <f>IF($B222="","",IFERROR(INDEX(機種マスタ!$C$4:$C$203,MATCH($B222,機種マスタ!$B$4:$B$203,0)),"-"))</f>
        <v/>
      </c>
      <c r="F222" s="29">
        <f>IF($B222="","",IFERROR(N(INDEX(機種マスタ!$D$4:$D$203,MATCH($B222,機種マスタ!$B$4:$B$203,0))),0))</f>
        <v/>
      </c>
      <c r="G222" s="29">
        <f>IF($B222="","",IF($C222="",1,$C222))</f>
        <v/>
      </c>
      <c r="H222" s="29">
        <f>IF($B222="","",F222*G222)</f>
        <v/>
      </c>
    </row>
    <row r="223">
      <c r="A223" s="40" t="n"/>
      <c r="B223" s="41" t="n"/>
      <c r="C223" s="42" t="n"/>
      <c r="D223" s="29">
        <f>IF($B223="","",IFERROR(INDEX(機種マスタ!$A$4:$A$203,MATCH($B223,機種マスタ!$B$4:$B$203,0)),"未登録"))</f>
        <v/>
      </c>
      <c r="E223" s="29">
        <f>IF($B223="","",IFERROR(INDEX(機種マスタ!$C$4:$C$203,MATCH($B223,機種マスタ!$B$4:$B$203,0)),"-"))</f>
        <v/>
      </c>
      <c r="F223" s="29">
        <f>IF($B223="","",IFERROR(N(INDEX(機種マスタ!$D$4:$D$203,MATCH($B223,機種マスタ!$B$4:$B$203,0))),0))</f>
        <v/>
      </c>
      <c r="G223" s="29">
        <f>IF($B223="","",IF($C223="",1,$C223))</f>
        <v/>
      </c>
      <c r="H223" s="29">
        <f>IF($B223="","",F223*G223)</f>
        <v/>
      </c>
    </row>
    <row r="224">
      <c r="A224" s="40" t="n"/>
      <c r="B224" s="41" t="n"/>
      <c r="C224" s="42" t="n"/>
      <c r="D224" s="29">
        <f>IF($B224="","",IFERROR(INDEX(機種マスタ!$A$4:$A$203,MATCH($B224,機種マスタ!$B$4:$B$203,0)),"未登録"))</f>
        <v/>
      </c>
      <c r="E224" s="29">
        <f>IF($B224="","",IFERROR(INDEX(機種マスタ!$C$4:$C$203,MATCH($B224,機種マスタ!$B$4:$B$203,0)),"-"))</f>
        <v/>
      </c>
      <c r="F224" s="29">
        <f>IF($B224="","",IFERROR(N(INDEX(機種マスタ!$D$4:$D$203,MATCH($B224,機種マスタ!$B$4:$B$203,0))),0))</f>
        <v/>
      </c>
      <c r="G224" s="29">
        <f>IF($B224="","",IF($C224="",1,$C224))</f>
        <v/>
      </c>
      <c r="H224" s="29">
        <f>IF($B224="","",F224*G224)</f>
        <v/>
      </c>
    </row>
    <row r="225">
      <c r="A225" s="40" t="n"/>
      <c r="B225" s="41" t="n"/>
      <c r="C225" s="42" t="n"/>
      <c r="D225" s="29">
        <f>IF($B225="","",IFERROR(INDEX(機種マスタ!$A$4:$A$203,MATCH($B225,機種マスタ!$B$4:$B$203,0)),"未登録"))</f>
        <v/>
      </c>
      <c r="E225" s="29">
        <f>IF($B225="","",IFERROR(INDEX(機種マスタ!$C$4:$C$203,MATCH($B225,機種マスタ!$B$4:$B$203,0)),"-"))</f>
        <v/>
      </c>
      <c r="F225" s="29">
        <f>IF($B225="","",IFERROR(N(INDEX(機種マスタ!$D$4:$D$203,MATCH($B225,機種マスタ!$B$4:$B$203,0))),0))</f>
        <v/>
      </c>
      <c r="G225" s="29">
        <f>IF($B225="","",IF($C225="",1,$C225))</f>
        <v/>
      </c>
      <c r="H225" s="29">
        <f>IF($B225="","",F225*G225)</f>
        <v/>
      </c>
    </row>
    <row r="226">
      <c r="A226" s="40" t="n"/>
      <c r="B226" s="41" t="n"/>
      <c r="C226" s="42" t="n"/>
      <c r="D226" s="29">
        <f>IF($B226="","",IFERROR(INDEX(機種マスタ!$A$4:$A$203,MATCH($B226,機種マスタ!$B$4:$B$203,0)),"未登録"))</f>
        <v/>
      </c>
      <c r="E226" s="29">
        <f>IF($B226="","",IFERROR(INDEX(機種マスタ!$C$4:$C$203,MATCH($B226,機種マスタ!$B$4:$B$203,0)),"-"))</f>
        <v/>
      </c>
      <c r="F226" s="29">
        <f>IF($B226="","",IFERROR(N(INDEX(機種マスタ!$D$4:$D$203,MATCH($B226,機種マスタ!$B$4:$B$203,0))),0))</f>
        <v/>
      </c>
      <c r="G226" s="29">
        <f>IF($B226="","",IF($C226="",1,$C226))</f>
        <v/>
      </c>
      <c r="H226" s="29">
        <f>IF($B226="","",F226*G226)</f>
        <v/>
      </c>
    </row>
    <row r="227">
      <c r="A227" s="40" t="n"/>
      <c r="B227" s="41" t="n"/>
      <c r="C227" s="42" t="n"/>
      <c r="D227" s="29">
        <f>IF($B227="","",IFERROR(INDEX(機種マスタ!$A$4:$A$203,MATCH($B227,機種マスタ!$B$4:$B$203,0)),"未登録"))</f>
        <v/>
      </c>
      <c r="E227" s="29">
        <f>IF($B227="","",IFERROR(INDEX(機種マスタ!$C$4:$C$203,MATCH($B227,機種マスタ!$B$4:$B$203,0)),"-"))</f>
        <v/>
      </c>
      <c r="F227" s="29">
        <f>IF($B227="","",IFERROR(N(INDEX(機種マスタ!$D$4:$D$203,MATCH($B227,機種マスタ!$B$4:$B$203,0))),0))</f>
        <v/>
      </c>
      <c r="G227" s="29">
        <f>IF($B227="","",IF($C227="",1,$C227))</f>
        <v/>
      </c>
      <c r="H227" s="29">
        <f>IF($B227="","",F227*G227)</f>
        <v/>
      </c>
    </row>
    <row r="228">
      <c r="A228" s="40" t="n"/>
      <c r="B228" s="41" t="n"/>
      <c r="C228" s="42" t="n"/>
      <c r="D228" s="29">
        <f>IF($B228="","",IFERROR(INDEX(機種マスタ!$A$4:$A$203,MATCH($B228,機種マスタ!$B$4:$B$203,0)),"未登録"))</f>
        <v/>
      </c>
      <c r="E228" s="29">
        <f>IF($B228="","",IFERROR(INDEX(機種マスタ!$C$4:$C$203,MATCH($B228,機種マスタ!$B$4:$B$203,0)),"-"))</f>
        <v/>
      </c>
      <c r="F228" s="29">
        <f>IF($B228="","",IFERROR(N(INDEX(機種マスタ!$D$4:$D$203,MATCH($B228,機種マスタ!$B$4:$B$203,0))),0))</f>
        <v/>
      </c>
      <c r="G228" s="29">
        <f>IF($B228="","",IF($C228="",1,$C228))</f>
        <v/>
      </c>
      <c r="H228" s="29">
        <f>IF($B228="","",F228*G228)</f>
        <v/>
      </c>
    </row>
    <row r="229">
      <c r="A229" s="40" t="n"/>
      <c r="B229" s="41" t="n"/>
      <c r="C229" s="42" t="n"/>
      <c r="D229" s="29">
        <f>IF($B229="","",IFERROR(INDEX(機種マスタ!$A$4:$A$203,MATCH($B229,機種マスタ!$B$4:$B$203,0)),"未登録"))</f>
        <v/>
      </c>
      <c r="E229" s="29">
        <f>IF($B229="","",IFERROR(INDEX(機種マスタ!$C$4:$C$203,MATCH($B229,機種マスタ!$B$4:$B$203,0)),"-"))</f>
        <v/>
      </c>
      <c r="F229" s="29">
        <f>IF($B229="","",IFERROR(N(INDEX(機種マスタ!$D$4:$D$203,MATCH($B229,機種マスタ!$B$4:$B$203,0))),0))</f>
        <v/>
      </c>
      <c r="G229" s="29">
        <f>IF($B229="","",IF($C229="",1,$C229))</f>
        <v/>
      </c>
      <c r="H229" s="29">
        <f>IF($B229="","",F229*G229)</f>
        <v/>
      </c>
    </row>
    <row r="230">
      <c r="A230" s="40" t="n"/>
      <c r="B230" s="41" t="n"/>
      <c r="C230" s="42" t="n"/>
      <c r="D230" s="29">
        <f>IF($B230="","",IFERROR(INDEX(機種マスタ!$A$4:$A$203,MATCH($B230,機種マスタ!$B$4:$B$203,0)),"未登録"))</f>
        <v/>
      </c>
      <c r="E230" s="29">
        <f>IF($B230="","",IFERROR(INDEX(機種マスタ!$C$4:$C$203,MATCH($B230,機種マスタ!$B$4:$B$203,0)),"-"))</f>
        <v/>
      </c>
      <c r="F230" s="29">
        <f>IF($B230="","",IFERROR(N(INDEX(機種マスタ!$D$4:$D$203,MATCH($B230,機種マスタ!$B$4:$B$203,0))),0))</f>
        <v/>
      </c>
      <c r="G230" s="29">
        <f>IF($B230="","",IF($C230="",1,$C230))</f>
        <v/>
      </c>
      <c r="H230" s="29">
        <f>IF($B230="","",F230*G230)</f>
        <v/>
      </c>
    </row>
    <row r="231">
      <c r="A231" s="40" t="n"/>
      <c r="B231" s="41" t="n"/>
      <c r="C231" s="42" t="n"/>
      <c r="D231" s="29">
        <f>IF($B231="","",IFERROR(INDEX(機種マスタ!$A$4:$A$203,MATCH($B231,機種マスタ!$B$4:$B$203,0)),"未登録"))</f>
        <v/>
      </c>
      <c r="E231" s="29">
        <f>IF($B231="","",IFERROR(INDEX(機種マスタ!$C$4:$C$203,MATCH($B231,機種マスタ!$B$4:$B$203,0)),"-"))</f>
        <v/>
      </c>
      <c r="F231" s="29">
        <f>IF($B231="","",IFERROR(N(INDEX(機種マスタ!$D$4:$D$203,MATCH($B231,機種マスタ!$B$4:$B$203,0))),0))</f>
        <v/>
      </c>
      <c r="G231" s="29">
        <f>IF($B231="","",IF($C231="",1,$C231))</f>
        <v/>
      </c>
      <c r="H231" s="29">
        <f>IF($B231="","",F231*G231)</f>
        <v/>
      </c>
    </row>
    <row r="232">
      <c r="A232" s="40" t="n"/>
      <c r="B232" s="41" t="n"/>
      <c r="C232" s="42" t="n"/>
      <c r="D232" s="29">
        <f>IF($B232="","",IFERROR(INDEX(機種マスタ!$A$4:$A$203,MATCH($B232,機種マスタ!$B$4:$B$203,0)),"未登録"))</f>
        <v/>
      </c>
      <c r="E232" s="29">
        <f>IF($B232="","",IFERROR(INDEX(機種マスタ!$C$4:$C$203,MATCH($B232,機種マスタ!$B$4:$B$203,0)),"-"))</f>
        <v/>
      </c>
      <c r="F232" s="29">
        <f>IF($B232="","",IFERROR(N(INDEX(機種マスタ!$D$4:$D$203,MATCH($B232,機種マスタ!$B$4:$B$203,0))),0))</f>
        <v/>
      </c>
      <c r="G232" s="29">
        <f>IF($B232="","",IF($C232="",1,$C232))</f>
        <v/>
      </c>
      <c r="H232" s="29">
        <f>IF($B232="","",F232*G232)</f>
        <v/>
      </c>
    </row>
    <row r="233">
      <c r="A233" s="40" t="n"/>
      <c r="B233" s="41" t="n"/>
      <c r="C233" s="42" t="n"/>
      <c r="D233" s="29">
        <f>IF($B233="","",IFERROR(INDEX(機種マスタ!$A$4:$A$203,MATCH($B233,機種マスタ!$B$4:$B$203,0)),"未登録"))</f>
        <v/>
      </c>
      <c r="E233" s="29">
        <f>IF($B233="","",IFERROR(INDEX(機種マスタ!$C$4:$C$203,MATCH($B233,機種マスタ!$B$4:$B$203,0)),"-"))</f>
        <v/>
      </c>
      <c r="F233" s="29">
        <f>IF($B233="","",IFERROR(N(INDEX(機種マスタ!$D$4:$D$203,MATCH($B233,機種マスタ!$B$4:$B$203,0))),0))</f>
        <v/>
      </c>
      <c r="G233" s="29">
        <f>IF($B233="","",IF($C233="",1,$C233))</f>
        <v/>
      </c>
      <c r="H233" s="29">
        <f>IF($B233="","",F233*G233)</f>
        <v/>
      </c>
    </row>
    <row r="234">
      <c r="A234" s="40" t="n"/>
      <c r="B234" s="41" t="n"/>
      <c r="C234" s="42" t="n"/>
      <c r="D234" s="29">
        <f>IF($B234="","",IFERROR(INDEX(機種マスタ!$A$4:$A$203,MATCH($B234,機種マスタ!$B$4:$B$203,0)),"未登録"))</f>
        <v/>
      </c>
      <c r="E234" s="29">
        <f>IF($B234="","",IFERROR(INDEX(機種マスタ!$C$4:$C$203,MATCH($B234,機種マスタ!$B$4:$B$203,0)),"-"))</f>
        <v/>
      </c>
      <c r="F234" s="29">
        <f>IF($B234="","",IFERROR(N(INDEX(機種マスタ!$D$4:$D$203,MATCH($B234,機種マスタ!$B$4:$B$203,0))),0))</f>
        <v/>
      </c>
      <c r="G234" s="29">
        <f>IF($B234="","",IF($C234="",1,$C234))</f>
        <v/>
      </c>
      <c r="H234" s="29">
        <f>IF($B234="","",F234*G234)</f>
        <v/>
      </c>
    </row>
    <row r="235">
      <c r="A235" s="40" t="n"/>
      <c r="B235" s="41" t="n"/>
      <c r="C235" s="42" t="n"/>
      <c r="D235" s="29">
        <f>IF($B235="","",IFERROR(INDEX(機種マスタ!$A$4:$A$203,MATCH($B235,機種マスタ!$B$4:$B$203,0)),"未登録"))</f>
        <v/>
      </c>
      <c r="E235" s="29">
        <f>IF($B235="","",IFERROR(INDEX(機種マスタ!$C$4:$C$203,MATCH($B235,機種マスタ!$B$4:$B$203,0)),"-"))</f>
        <v/>
      </c>
      <c r="F235" s="29">
        <f>IF($B235="","",IFERROR(N(INDEX(機種マスタ!$D$4:$D$203,MATCH($B235,機種マスタ!$B$4:$B$203,0))),0))</f>
        <v/>
      </c>
      <c r="G235" s="29">
        <f>IF($B235="","",IF($C235="",1,$C235))</f>
        <v/>
      </c>
      <c r="H235" s="29">
        <f>IF($B235="","",F235*G235)</f>
        <v/>
      </c>
    </row>
    <row r="236">
      <c r="A236" s="40" t="n"/>
      <c r="B236" s="41" t="n"/>
      <c r="C236" s="42" t="n"/>
      <c r="D236" s="29">
        <f>IF($B236="","",IFERROR(INDEX(機種マスタ!$A$4:$A$203,MATCH($B236,機種マスタ!$B$4:$B$203,0)),"未登録"))</f>
        <v/>
      </c>
      <c r="E236" s="29">
        <f>IF($B236="","",IFERROR(INDEX(機種マスタ!$C$4:$C$203,MATCH($B236,機種マスタ!$B$4:$B$203,0)),"-"))</f>
        <v/>
      </c>
      <c r="F236" s="29">
        <f>IF($B236="","",IFERROR(N(INDEX(機種マスタ!$D$4:$D$203,MATCH($B236,機種マスタ!$B$4:$B$203,0))),0))</f>
        <v/>
      </c>
      <c r="G236" s="29">
        <f>IF($B236="","",IF($C236="",1,$C236))</f>
        <v/>
      </c>
      <c r="H236" s="29">
        <f>IF($B236="","",F236*G236)</f>
        <v/>
      </c>
    </row>
    <row r="237">
      <c r="A237" s="40" t="n"/>
      <c r="B237" s="41" t="n"/>
      <c r="C237" s="42" t="n"/>
      <c r="D237" s="29">
        <f>IF($B237="","",IFERROR(INDEX(機種マスタ!$A$4:$A$203,MATCH($B237,機種マスタ!$B$4:$B$203,0)),"未登録"))</f>
        <v/>
      </c>
      <c r="E237" s="29">
        <f>IF($B237="","",IFERROR(INDEX(機種マスタ!$C$4:$C$203,MATCH($B237,機種マスタ!$B$4:$B$203,0)),"-"))</f>
        <v/>
      </c>
      <c r="F237" s="29">
        <f>IF($B237="","",IFERROR(N(INDEX(機種マスタ!$D$4:$D$203,MATCH($B237,機種マスタ!$B$4:$B$203,0))),0))</f>
        <v/>
      </c>
      <c r="G237" s="29">
        <f>IF($B237="","",IF($C237="",1,$C237))</f>
        <v/>
      </c>
      <c r="H237" s="29">
        <f>IF($B237="","",F237*G237)</f>
        <v/>
      </c>
    </row>
    <row r="238">
      <c r="A238" s="40" t="n"/>
      <c r="B238" s="41" t="n"/>
      <c r="C238" s="42" t="n"/>
      <c r="D238" s="29">
        <f>IF($B238="","",IFERROR(INDEX(機種マスタ!$A$4:$A$203,MATCH($B238,機種マスタ!$B$4:$B$203,0)),"未登録"))</f>
        <v/>
      </c>
      <c r="E238" s="29">
        <f>IF($B238="","",IFERROR(INDEX(機種マスタ!$C$4:$C$203,MATCH($B238,機種マスタ!$B$4:$B$203,0)),"-"))</f>
        <v/>
      </c>
      <c r="F238" s="29">
        <f>IF($B238="","",IFERROR(N(INDEX(機種マスタ!$D$4:$D$203,MATCH($B238,機種マスタ!$B$4:$B$203,0))),0))</f>
        <v/>
      </c>
      <c r="G238" s="29">
        <f>IF($B238="","",IF($C238="",1,$C238))</f>
        <v/>
      </c>
      <c r="H238" s="29">
        <f>IF($B238="","",F238*G238)</f>
        <v/>
      </c>
    </row>
    <row r="239">
      <c r="A239" s="40" t="n"/>
      <c r="B239" s="41" t="n"/>
      <c r="C239" s="42" t="n"/>
      <c r="D239" s="29">
        <f>IF($B239="","",IFERROR(INDEX(機種マスタ!$A$4:$A$203,MATCH($B239,機種マスタ!$B$4:$B$203,0)),"未登録"))</f>
        <v/>
      </c>
      <c r="E239" s="29">
        <f>IF($B239="","",IFERROR(INDEX(機種マスタ!$C$4:$C$203,MATCH($B239,機種マスタ!$B$4:$B$203,0)),"-"))</f>
        <v/>
      </c>
      <c r="F239" s="29">
        <f>IF($B239="","",IFERROR(N(INDEX(機種マスタ!$D$4:$D$203,MATCH($B239,機種マスタ!$B$4:$B$203,0))),0))</f>
        <v/>
      </c>
      <c r="G239" s="29">
        <f>IF($B239="","",IF($C239="",1,$C239))</f>
        <v/>
      </c>
      <c r="H239" s="29">
        <f>IF($B239="","",F239*G239)</f>
        <v/>
      </c>
    </row>
    <row r="240">
      <c r="A240" s="40" t="n"/>
      <c r="B240" s="41" t="n"/>
      <c r="C240" s="42" t="n"/>
      <c r="D240" s="29">
        <f>IF($B240="","",IFERROR(INDEX(機種マスタ!$A$4:$A$203,MATCH($B240,機種マスタ!$B$4:$B$203,0)),"未登録"))</f>
        <v/>
      </c>
      <c r="E240" s="29">
        <f>IF($B240="","",IFERROR(INDEX(機種マスタ!$C$4:$C$203,MATCH($B240,機種マスタ!$B$4:$B$203,0)),"-"))</f>
        <v/>
      </c>
      <c r="F240" s="29">
        <f>IF($B240="","",IFERROR(N(INDEX(機種マスタ!$D$4:$D$203,MATCH($B240,機種マスタ!$B$4:$B$203,0))),0))</f>
        <v/>
      </c>
      <c r="G240" s="29">
        <f>IF($B240="","",IF($C240="",1,$C240))</f>
        <v/>
      </c>
      <c r="H240" s="29">
        <f>IF($B240="","",F240*G240)</f>
        <v/>
      </c>
    </row>
    <row r="241">
      <c r="A241" s="40" t="n"/>
      <c r="B241" s="41" t="n"/>
      <c r="C241" s="42" t="n"/>
      <c r="D241" s="29">
        <f>IF($B241="","",IFERROR(INDEX(機種マスタ!$A$4:$A$203,MATCH($B241,機種マスタ!$B$4:$B$203,0)),"未登録"))</f>
        <v/>
      </c>
      <c r="E241" s="29">
        <f>IF($B241="","",IFERROR(INDEX(機種マスタ!$C$4:$C$203,MATCH($B241,機種マスタ!$B$4:$B$203,0)),"-"))</f>
        <v/>
      </c>
      <c r="F241" s="29">
        <f>IF($B241="","",IFERROR(N(INDEX(機種マスタ!$D$4:$D$203,MATCH($B241,機種マスタ!$B$4:$B$203,0))),0))</f>
        <v/>
      </c>
      <c r="G241" s="29">
        <f>IF($B241="","",IF($C241="",1,$C241))</f>
        <v/>
      </c>
      <c r="H241" s="29">
        <f>IF($B241="","",F241*G241)</f>
        <v/>
      </c>
    </row>
    <row r="242">
      <c r="A242" s="40" t="n"/>
      <c r="B242" s="41" t="n"/>
      <c r="C242" s="42" t="n"/>
      <c r="D242" s="29">
        <f>IF($B242="","",IFERROR(INDEX(機種マスタ!$A$4:$A$203,MATCH($B242,機種マスタ!$B$4:$B$203,0)),"未登録"))</f>
        <v/>
      </c>
      <c r="E242" s="29">
        <f>IF($B242="","",IFERROR(INDEX(機種マスタ!$C$4:$C$203,MATCH($B242,機種マスタ!$B$4:$B$203,0)),"-"))</f>
        <v/>
      </c>
      <c r="F242" s="29">
        <f>IF($B242="","",IFERROR(N(INDEX(機種マスタ!$D$4:$D$203,MATCH($B242,機種マスタ!$B$4:$B$203,0))),0))</f>
        <v/>
      </c>
      <c r="G242" s="29">
        <f>IF($B242="","",IF($C242="",1,$C242))</f>
        <v/>
      </c>
      <c r="H242" s="29">
        <f>IF($B242="","",F242*G242)</f>
        <v/>
      </c>
    </row>
    <row r="243">
      <c r="A243" s="40" t="n"/>
      <c r="B243" s="41" t="n"/>
      <c r="C243" s="42" t="n"/>
      <c r="D243" s="29">
        <f>IF($B243="","",IFERROR(INDEX(機種マスタ!$A$4:$A$203,MATCH($B243,機種マスタ!$B$4:$B$203,0)),"未登録"))</f>
        <v/>
      </c>
      <c r="E243" s="29">
        <f>IF($B243="","",IFERROR(INDEX(機種マスタ!$C$4:$C$203,MATCH($B243,機種マスタ!$B$4:$B$203,0)),"-"))</f>
        <v/>
      </c>
      <c r="F243" s="29">
        <f>IF($B243="","",IFERROR(N(INDEX(機種マスタ!$D$4:$D$203,MATCH($B243,機種マスタ!$B$4:$B$203,0))),0))</f>
        <v/>
      </c>
      <c r="G243" s="29">
        <f>IF($B243="","",IF($C243="",1,$C243))</f>
        <v/>
      </c>
      <c r="H243" s="29">
        <f>IF($B243="","",F243*G243)</f>
        <v/>
      </c>
    </row>
    <row r="244">
      <c r="A244" s="40" t="n"/>
      <c r="B244" s="41" t="n"/>
      <c r="C244" s="42" t="n"/>
      <c r="D244" s="29">
        <f>IF($B244="","",IFERROR(INDEX(機種マスタ!$A$4:$A$203,MATCH($B244,機種マスタ!$B$4:$B$203,0)),"未登録"))</f>
        <v/>
      </c>
      <c r="E244" s="29">
        <f>IF($B244="","",IFERROR(INDEX(機種マスタ!$C$4:$C$203,MATCH($B244,機種マスタ!$B$4:$B$203,0)),"-"))</f>
        <v/>
      </c>
      <c r="F244" s="29">
        <f>IF($B244="","",IFERROR(N(INDEX(機種マスタ!$D$4:$D$203,MATCH($B244,機種マスタ!$B$4:$B$203,0))),0))</f>
        <v/>
      </c>
      <c r="G244" s="29">
        <f>IF($B244="","",IF($C244="",1,$C244))</f>
        <v/>
      </c>
      <c r="H244" s="29">
        <f>IF($B244="","",F244*G244)</f>
        <v/>
      </c>
    </row>
    <row r="245">
      <c r="A245" s="40" t="n"/>
      <c r="B245" s="41" t="n"/>
      <c r="C245" s="42" t="n"/>
      <c r="D245" s="29">
        <f>IF($B245="","",IFERROR(INDEX(機種マスタ!$A$4:$A$203,MATCH($B245,機種マスタ!$B$4:$B$203,0)),"未登録"))</f>
        <v/>
      </c>
      <c r="E245" s="29">
        <f>IF($B245="","",IFERROR(INDEX(機種マスタ!$C$4:$C$203,MATCH($B245,機種マスタ!$B$4:$B$203,0)),"-"))</f>
        <v/>
      </c>
      <c r="F245" s="29">
        <f>IF($B245="","",IFERROR(N(INDEX(機種マスタ!$D$4:$D$203,MATCH($B245,機種マスタ!$B$4:$B$203,0))),0))</f>
        <v/>
      </c>
      <c r="G245" s="29">
        <f>IF($B245="","",IF($C245="",1,$C245))</f>
        <v/>
      </c>
      <c r="H245" s="29">
        <f>IF($B245="","",F245*G245)</f>
        <v/>
      </c>
    </row>
    <row r="246">
      <c r="A246" s="40" t="n"/>
      <c r="B246" s="41" t="n"/>
      <c r="C246" s="42" t="n"/>
      <c r="D246" s="29">
        <f>IF($B246="","",IFERROR(INDEX(機種マスタ!$A$4:$A$203,MATCH($B246,機種マスタ!$B$4:$B$203,0)),"未登録"))</f>
        <v/>
      </c>
      <c r="E246" s="29">
        <f>IF($B246="","",IFERROR(INDEX(機種マスタ!$C$4:$C$203,MATCH($B246,機種マスタ!$B$4:$B$203,0)),"-"))</f>
        <v/>
      </c>
      <c r="F246" s="29">
        <f>IF($B246="","",IFERROR(N(INDEX(機種マスタ!$D$4:$D$203,MATCH($B246,機種マスタ!$B$4:$B$203,0))),0))</f>
        <v/>
      </c>
      <c r="G246" s="29">
        <f>IF($B246="","",IF($C246="",1,$C246))</f>
        <v/>
      </c>
      <c r="H246" s="29">
        <f>IF($B246="","",F246*G246)</f>
        <v/>
      </c>
    </row>
    <row r="247">
      <c r="A247" s="40" t="n"/>
      <c r="B247" s="41" t="n"/>
      <c r="C247" s="42" t="n"/>
      <c r="D247" s="29">
        <f>IF($B247="","",IFERROR(INDEX(機種マスタ!$A$4:$A$203,MATCH($B247,機種マスタ!$B$4:$B$203,0)),"未登録"))</f>
        <v/>
      </c>
      <c r="E247" s="29">
        <f>IF($B247="","",IFERROR(INDEX(機種マスタ!$C$4:$C$203,MATCH($B247,機種マスタ!$B$4:$B$203,0)),"-"))</f>
        <v/>
      </c>
      <c r="F247" s="29">
        <f>IF($B247="","",IFERROR(N(INDEX(機種マスタ!$D$4:$D$203,MATCH($B247,機種マスタ!$B$4:$B$203,0))),0))</f>
        <v/>
      </c>
      <c r="G247" s="29">
        <f>IF($B247="","",IF($C247="",1,$C247))</f>
        <v/>
      </c>
      <c r="H247" s="29">
        <f>IF($B247="","",F247*G247)</f>
        <v/>
      </c>
    </row>
    <row r="248">
      <c r="A248" s="40" t="n"/>
      <c r="B248" s="41" t="n"/>
      <c r="C248" s="42" t="n"/>
      <c r="D248" s="29">
        <f>IF($B248="","",IFERROR(INDEX(機種マスタ!$A$4:$A$203,MATCH($B248,機種マスタ!$B$4:$B$203,0)),"未登録"))</f>
        <v/>
      </c>
      <c r="E248" s="29">
        <f>IF($B248="","",IFERROR(INDEX(機種マスタ!$C$4:$C$203,MATCH($B248,機種マスタ!$B$4:$B$203,0)),"-"))</f>
        <v/>
      </c>
      <c r="F248" s="29">
        <f>IF($B248="","",IFERROR(N(INDEX(機種マスタ!$D$4:$D$203,MATCH($B248,機種マスタ!$B$4:$B$203,0))),0))</f>
        <v/>
      </c>
      <c r="G248" s="29">
        <f>IF($B248="","",IF($C248="",1,$C248))</f>
        <v/>
      </c>
      <c r="H248" s="29">
        <f>IF($B248="","",F248*G248)</f>
        <v/>
      </c>
    </row>
    <row r="249">
      <c r="A249" s="40" t="n"/>
      <c r="B249" s="41" t="n"/>
      <c r="C249" s="42" t="n"/>
      <c r="D249" s="29">
        <f>IF($B249="","",IFERROR(INDEX(機種マスタ!$A$4:$A$203,MATCH($B249,機種マスタ!$B$4:$B$203,0)),"未登録"))</f>
        <v/>
      </c>
      <c r="E249" s="29">
        <f>IF($B249="","",IFERROR(INDEX(機種マスタ!$C$4:$C$203,MATCH($B249,機種マスタ!$B$4:$B$203,0)),"-"))</f>
        <v/>
      </c>
      <c r="F249" s="29">
        <f>IF($B249="","",IFERROR(N(INDEX(機種マスタ!$D$4:$D$203,MATCH($B249,機種マスタ!$B$4:$B$203,0))),0))</f>
        <v/>
      </c>
      <c r="G249" s="29">
        <f>IF($B249="","",IF($C249="",1,$C249))</f>
        <v/>
      </c>
      <c r="H249" s="29">
        <f>IF($B249="","",F249*G249)</f>
        <v/>
      </c>
    </row>
    <row r="250">
      <c r="A250" s="40" t="n"/>
      <c r="B250" s="41" t="n"/>
      <c r="C250" s="42" t="n"/>
      <c r="D250" s="29">
        <f>IF($B250="","",IFERROR(INDEX(機種マスタ!$A$4:$A$203,MATCH($B250,機種マスタ!$B$4:$B$203,0)),"未登録"))</f>
        <v/>
      </c>
      <c r="E250" s="29">
        <f>IF($B250="","",IFERROR(INDEX(機種マスタ!$C$4:$C$203,MATCH($B250,機種マスタ!$B$4:$B$203,0)),"-"))</f>
        <v/>
      </c>
      <c r="F250" s="29">
        <f>IF($B250="","",IFERROR(N(INDEX(機種マスタ!$D$4:$D$203,MATCH($B250,機種マスタ!$B$4:$B$203,0))),0))</f>
        <v/>
      </c>
      <c r="G250" s="29">
        <f>IF($B250="","",IF($C250="",1,$C250))</f>
        <v/>
      </c>
      <c r="H250" s="29">
        <f>IF($B250="","",F250*G250)</f>
        <v/>
      </c>
    </row>
    <row r="251">
      <c r="A251" s="40" t="n"/>
      <c r="B251" s="41" t="n"/>
      <c r="C251" s="42" t="n"/>
      <c r="D251" s="29">
        <f>IF($B251="","",IFERROR(INDEX(機種マスタ!$A$4:$A$203,MATCH($B251,機種マスタ!$B$4:$B$203,0)),"未登録"))</f>
        <v/>
      </c>
      <c r="E251" s="29">
        <f>IF($B251="","",IFERROR(INDEX(機種マスタ!$C$4:$C$203,MATCH($B251,機種マスタ!$B$4:$B$203,0)),"-"))</f>
        <v/>
      </c>
      <c r="F251" s="29">
        <f>IF($B251="","",IFERROR(N(INDEX(機種マスタ!$D$4:$D$203,MATCH($B251,機種マスタ!$B$4:$B$203,0))),0))</f>
        <v/>
      </c>
      <c r="G251" s="29">
        <f>IF($B251="","",IF($C251="",1,$C251))</f>
        <v/>
      </c>
      <c r="H251" s="29">
        <f>IF($B251="","",F251*G251)</f>
        <v/>
      </c>
    </row>
    <row r="252">
      <c r="A252" s="40" t="n"/>
      <c r="B252" s="41" t="n"/>
      <c r="C252" s="42" t="n"/>
      <c r="D252" s="29">
        <f>IF($B252="","",IFERROR(INDEX(機種マスタ!$A$4:$A$203,MATCH($B252,機種マスタ!$B$4:$B$203,0)),"未登録"))</f>
        <v/>
      </c>
      <c r="E252" s="29">
        <f>IF($B252="","",IFERROR(INDEX(機種マスタ!$C$4:$C$203,MATCH($B252,機種マスタ!$B$4:$B$203,0)),"-"))</f>
        <v/>
      </c>
      <c r="F252" s="29">
        <f>IF($B252="","",IFERROR(N(INDEX(機種マスタ!$D$4:$D$203,MATCH($B252,機種マスタ!$B$4:$B$203,0))),0))</f>
        <v/>
      </c>
      <c r="G252" s="29">
        <f>IF($B252="","",IF($C252="",1,$C252))</f>
        <v/>
      </c>
      <c r="H252" s="29">
        <f>IF($B252="","",F252*G252)</f>
        <v/>
      </c>
    </row>
    <row r="253">
      <c r="A253" s="40" t="n"/>
      <c r="B253" s="41" t="n"/>
      <c r="C253" s="42" t="n"/>
      <c r="D253" s="29">
        <f>IF($B253="","",IFERROR(INDEX(機種マスタ!$A$4:$A$203,MATCH($B253,機種マスタ!$B$4:$B$203,0)),"未登録"))</f>
        <v/>
      </c>
      <c r="E253" s="29">
        <f>IF($B253="","",IFERROR(INDEX(機種マスタ!$C$4:$C$203,MATCH($B253,機種マスタ!$B$4:$B$203,0)),"-"))</f>
        <v/>
      </c>
      <c r="F253" s="29">
        <f>IF($B253="","",IFERROR(N(INDEX(機種マスタ!$D$4:$D$203,MATCH($B253,機種マスタ!$B$4:$B$203,0))),0))</f>
        <v/>
      </c>
      <c r="G253" s="29">
        <f>IF($B253="","",IF($C253="",1,$C253))</f>
        <v/>
      </c>
      <c r="H253" s="29">
        <f>IF($B253="","",F253*G253)</f>
        <v/>
      </c>
    </row>
    <row r="254">
      <c r="A254" s="40" t="n"/>
      <c r="B254" s="41" t="n"/>
      <c r="C254" s="42" t="n"/>
      <c r="D254" s="29">
        <f>IF($B254="","",IFERROR(INDEX(機種マスタ!$A$4:$A$203,MATCH($B254,機種マスタ!$B$4:$B$203,0)),"未登録"))</f>
        <v/>
      </c>
      <c r="E254" s="29">
        <f>IF($B254="","",IFERROR(INDEX(機種マスタ!$C$4:$C$203,MATCH($B254,機種マスタ!$B$4:$B$203,0)),"-"))</f>
        <v/>
      </c>
      <c r="F254" s="29">
        <f>IF($B254="","",IFERROR(N(INDEX(機種マスタ!$D$4:$D$203,MATCH($B254,機種マスタ!$B$4:$B$203,0))),0))</f>
        <v/>
      </c>
      <c r="G254" s="29">
        <f>IF($B254="","",IF($C254="",1,$C254))</f>
        <v/>
      </c>
      <c r="H254" s="29">
        <f>IF($B254="","",F254*G254)</f>
        <v/>
      </c>
    </row>
    <row r="255">
      <c r="A255" s="40" t="n"/>
      <c r="B255" s="41" t="n"/>
      <c r="C255" s="42" t="n"/>
      <c r="D255" s="29">
        <f>IF($B255="","",IFERROR(INDEX(機種マスタ!$A$4:$A$203,MATCH($B255,機種マスタ!$B$4:$B$203,0)),"未登録"))</f>
        <v/>
      </c>
      <c r="E255" s="29">
        <f>IF($B255="","",IFERROR(INDEX(機種マスタ!$C$4:$C$203,MATCH($B255,機種マスタ!$B$4:$B$203,0)),"-"))</f>
        <v/>
      </c>
      <c r="F255" s="29">
        <f>IF($B255="","",IFERROR(N(INDEX(機種マスタ!$D$4:$D$203,MATCH($B255,機種マスタ!$B$4:$B$203,0))),0))</f>
        <v/>
      </c>
      <c r="G255" s="29">
        <f>IF($B255="","",IF($C255="",1,$C255))</f>
        <v/>
      </c>
      <c r="H255" s="29">
        <f>IF($B255="","",F255*G255)</f>
        <v/>
      </c>
    </row>
    <row r="256">
      <c r="A256" s="40" t="n"/>
      <c r="B256" s="41" t="n"/>
      <c r="C256" s="42" t="n"/>
      <c r="D256" s="29">
        <f>IF($B256="","",IFERROR(INDEX(機種マスタ!$A$4:$A$203,MATCH($B256,機種マスタ!$B$4:$B$203,0)),"未登録"))</f>
        <v/>
      </c>
      <c r="E256" s="29">
        <f>IF($B256="","",IFERROR(INDEX(機種マスタ!$C$4:$C$203,MATCH($B256,機種マスタ!$B$4:$B$203,0)),"-"))</f>
        <v/>
      </c>
      <c r="F256" s="29">
        <f>IF($B256="","",IFERROR(N(INDEX(機種マスタ!$D$4:$D$203,MATCH($B256,機種マスタ!$B$4:$B$203,0))),0))</f>
        <v/>
      </c>
      <c r="G256" s="29">
        <f>IF($B256="","",IF($C256="",1,$C256))</f>
        <v/>
      </c>
      <c r="H256" s="29">
        <f>IF($B256="","",F256*G256)</f>
        <v/>
      </c>
    </row>
    <row r="257">
      <c r="A257" s="40" t="n"/>
      <c r="B257" s="41" t="n"/>
      <c r="C257" s="42" t="n"/>
      <c r="D257" s="29">
        <f>IF($B257="","",IFERROR(INDEX(機種マスタ!$A$4:$A$203,MATCH($B257,機種マスタ!$B$4:$B$203,0)),"未登録"))</f>
        <v/>
      </c>
      <c r="E257" s="29">
        <f>IF($B257="","",IFERROR(INDEX(機種マスタ!$C$4:$C$203,MATCH($B257,機種マスタ!$B$4:$B$203,0)),"-"))</f>
        <v/>
      </c>
      <c r="F257" s="29">
        <f>IF($B257="","",IFERROR(N(INDEX(機種マスタ!$D$4:$D$203,MATCH($B257,機種マスタ!$B$4:$B$203,0))),0))</f>
        <v/>
      </c>
      <c r="G257" s="29">
        <f>IF($B257="","",IF($C257="",1,$C257))</f>
        <v/>
      </c>
      <c r="H257" s="29">
        <f>IF($B257="","",F257*G257)</f>
        <v/>
      </c>
    </row>
    <row r="258">
      <c r="A258" s="40" t="n"/>
      <c r="B258" s="41" t="n"/>
      <c r="C258" s="42" t="n"/>
      <c r="D258" s="29">
        <f>IF($B258="","",IFERROR(INDEX(機種マスタ!$A$4:$A$203,MATCH($B258,機種マスタ!$B$4:$B$203,0)),"未登録"))</f>
        <v/>
      </c>
      <c r="E258" s="29">
        <f>IF($B258="","",IFERROR(INDEX(機種マスタ!$C$4:$C$203,MATCH($B258,機種マスタ!$B$4:$B$203,0)),"-"))</f>
        <v/>
      </c>
      <c r="F258" s="29">
        <f>IF($B258="","",IFERROR(N(INDEX(機種マスタ!$D$4:$D$203,MATCH($B258,機種マスタ!$B$4:$B$203,0))),0))</f>
        <v/>
      </c>
      <c r="G258" s="29">
        <f>IF($B258="","",IF($C258="",1,$C258))</f>
        <v/>
      </c>
      <c r="H258" s="29">
        <f>IF($B258="","",F258*G258)</f>
        <v/>
      </c>
    </row>
    <row r="259">
      <c r="A259" s="40" t="n"/>
      <c r="B259" s="41" t="n"/>
      <c r="C259" s="42" t="n"/>
      <c r="D259" s="29">
        <f>IF($B259="","",IFERROR(INDEX(機種マスタ!$A$4:$A$203,MATCH($B259,機種マスタ!$B$4:$B$203,0)),"未登録"))</f>
        <v/>
      </c>
      <c r="E259" s="29">
        <f>IF($B259="","",IFERROR(INDEX(機種マスタ!$C$4:$C$203,MATCH($B259,機種マスタ!$B$4:$B$203,0)),"-"))</f>
        <v/>
      </c>
      <c r="F259" s="29">
        <f>IF($B259="","",IFERROR(N(INDEX(機種マスタ!$D$4:$D$203,MATCH($B259,機種マスタ!$B$4:$B$203,0))),0))</f>
        <v/>
      </c>
      <c r="G259" s="29">
        <f>IF($B259="","",IF($C259="",1,$C259))</f>
        <v/>
      </c>
      <c r="H259" s="29">
        <f>IF($B259="","",F259*G259)</f>
        <v/>
      </c>
    </row>
    <row r="260">
      <c r="A260" s="40" t="n"/>
      <c r="B260" s="41" t="n"/>
      <c r="C260" s="42" t="n"/>
      <c r="D260" s="29">
        <f>IF($B260="","",IFERROR(INDEX(機種マスタ!$A$4:$A$203,MATCH($B260,機種マスタ!$B$4:$B$203,0)),"未登録"))</f>
        <v/>
      </c>
      <c r="E260" s="29">
        <f>IF($B260="","",IFERROR(INDEX(機種マスタ!$C$4:$C$203,MATCH($B260,機種マスタ!$B$4:$B$203,0)),"-"))</f>
        <v/>
      </c>
      <c r="F260" s="29">
        <f>IF($B260="","",IFERROR(N(INDEX(機種マスタ!$D$4:$D$203,MATCH($B260,機種マスタ!$B$4:$B$203,0))),0))</f>
        <v/>
      </c>
      <c r="G260" s="29">
        <f>IF($B260="","",IF($C260="",1,$C260))</f>
        <v/>
      </c>
      <c r="H260" s="29">
        <f>IF($B260="","",F260*G260)</f>
        <v/>
      </c>
    </row>
    <row r="261">
      <c r="A261" s="40" t="n"/>
      <c r="B261" s="41" t="n"/>
      <c r="C261" s="42" t="n"/>
      <c r="D261" s="29">
        <f>IF($B261="","",IFERROR(INDEX(機種マスタ!$A$4:$A$203,MATCH($B261,機種マスタ!$B$4:$B$203,0)),"未登録"))</f>
        <v/>
      </c>
      <c r="E261" s="29">
        <f>IF($B261="","",IFERROR(INDEX(機種マスタ!$C$4:$C$203,MATCH($B261,機種マスタ!$B$4:$B$203,0)),"-"))</f>
        <v/>
      </c>
      <c r="F261" s="29">
        <f>IF($B261="","",IFERROR(N(INDEX(機種マスタ!$D$4:$D$203,MATCH($B261,機種マスタ!$B$4:$B$203,0))),0))</f>
        <v/>
      </c>
      <c r="G261" s="29">
        <f>IF($B261="","",IF($C261="",1,$C261))</f>
        <v/>
      </c>
      <c r="H261" s="29">
        <f>IF($B261="","",F261*G261)</f>
        <v/>
      </c>
    </row>
    <row r="262">
      <c r="A262" s="40" t="n"/>
      <c r="B262" s="41" t="n"/>
      <c r="C262" s="42" t="n"/>
      <c r="D262" s="29">
        <f>IF($B262="","",IFERROR(INDEX(機種マスタ!$A$4:$A$203,MATCH($B262,機種マスタ!$B$4:$B$203,0)),"未登録"))</f>
        <v/>
      </c>
      <c r="E262" s="29">
        <f>IF($B262="","",IFERROR(INDEX(機種マスタ!$C$4:$C$203,MATCH($B262,機種マスタ!$B$4:$B$203,0)),"-"))</f>
        <v/>
      </c>
      <c r="F262" s="29">
        <f>IF($B262="","",IFERROR(N(INDEX(機種マスタ!$D$4:$D$203,MATCH($B262,機種マスタ!$B$4:$B$203,0))),0))</f>
        <v/>
      </c>
      <c r="G262" s="29">
        <f>IF($B262="","",IF($C262="",1,$C262))</f>
        <v/>
      </c>
      <c r="H262" s="29">
        <f>IF($B262="","",F262*G262)</f>
        <v/>
      </c>
    </row>
    <row r="263">
      <c r="A263" s="40" t="n"/>
      <c r="B263" s="41" t="n"/>
      <c r="C263" s="42" t="n"/>
      <c r="D263" s="29">
        <f>IF($B263="","",IFERROR(INDEX(機種マスタ!$A$4:$A$203,MATCH($B263,機種マスタ!$B$4:$B$203,0)),"未登録"))</f>
        <v/>
      </c>
      <c r="E263" s="29">
        <f>IF($B263="","",IFERROR(INDEX(機種マスタ!$C$4:$C$203,MATCH($B263,機種マスタ!$B$4:$B$203,0)),"-"))</f>
        <v/>
      </c>
      <c r="F263" s="29">
        <f>IF($B263="","",IFERROR(N(INDEX(機種マスタ!$D$4:$D$203,MATCH($B263,機種マスタ!$B$4:$B$203,0))),0))</f>
        <v/>
      </c>
      <c r="G263" s="29">
        <f>IF($B263="","",IF($C263="",1,$C263))</f>
        <v/>
      </c>
      <c r="H263" s="29">
        <f>IF($B263="","",F263*G263)</f>
        <v/>
      </c>
    </row>
    <row r="264">
      <c r="A264" s="40" t="n"/>
      <c r="B264" s="41" t="n"/>
      <c r="C264" s="42" t="n"/>
      <c r="D264" s="29">
        <f>IF($B264="","",IFERROR(INDEX(機種マスタ!$A$4:$A$203,MATCH($B264,機種マスタ!$B$4:$B$203,0)),"未登録"))</f>
        <v/>
      </c>
      <c r="E264" s="29">
        <f>IF($B264="","",IFERROR(INDEX(機種マスタ!$C$4:$C$203,MATCH($B264,機種マスタ!$B$4:$B$203,0)),"-"))</f>
        <v/>
      </c>
      <c r="F264" s="29">
        <f>IF($B264="","",IFERROR(N(INDEX(機種マスタ!$D$4:$D$203,MATCH($B264,機種マスタ!$B$4:$B$203,0))),0))</f>
        <v/>
      </c>
      <c r="G264" s="29">
        <f>IF($B264="","",IF($C264="",1,$C264))</f>
        <v/>
      </c>
      <c r="H264" s="29">
        <f>IF($B264="","",F264*G264)</f>
        <v/>
      </c>
    </row>
    <row r="265">
      <c r="A265" s="40" t="n"/>
      <c r="B265" s="41" t="n"/>
      <c r="C265" s="42" t="n"/>
      <c r="D265" s="29">
        <f>IF($B265="","",IFERROR(INDEX(機種マスタ!$A$4:$A$203,MATCH($B265,機種マスタ!$B$4:$B$203,0)),"未登録"))</f>
        <v/>
      </c>
      <c r="E265" s="29">
        <f>IF($B265="","",IFERROR(INDEX(機種マスタ!$C$4:$C$203,MATCH($B265,機種マスタ!$B$4:$B$203,0)),"-"))</f>
        <v/>
      </c>
      <c r="F265" s="29">
        <f>IF($B265="","",IFERROR(N(INDEX(機種マスタ!$D$4:$D$203,MATCH($B265,機種マスタ!$B$4:$B$203,0))),0))</f>
        <v/>
      </c>
      <c r="G265" s="29">
        <f>IF($B265="","",IF($C265="",1,$C265))</f>
        <v/>
      </c>
      <c r="H265" s="29">
        <f>IF($B265="","",F265*G265)</f>
        <v/>
      </c>
    </row>
    <row r="266">
      <c r="A266" s="40" t="n"/>
      <c r="B266" s="41" t="n"/>
      <c r="C266" s="42" t="n"/>
      <c r="D266" s="29">
        <f>IF($B266="","",IFERROR(INDEX(機種マスタ!$A$4:$A$203,MATCH($B266,機種マスタ!$B$4:$B$203,0)),"未登録"))</f>
        <v/>
      </c>
      <c r="E266" s="29">
        <f>IF($B266="","",IFERROR(INDEX(機種マスタ!$C$4:$C$203,MATCH($B266,機種マスタ!$B$4:$B$203,0)),"-"))</f>
        <v/>
      </c>
      <c r="F266" s="29">
        <f>IF($B266="","",IFERROR(N(INDEX(機種マスタ!$D$4:$D$203,MATCH($B266,機種マスタ!$B$4:$B$203,0))),0))</f>
        <v/>
      </c>
      <c r="G266" s="29">
        <f>IF($B266="","",IF($C266="",1,$C266))</f>
        <v/>
      </c>
      <c r="H266" s="29">
        <f>IF($B266="","",F266*G266)</f>
        <v/>
      </c>
    </row>
    <row r="267">
      <c r="A267" s="40" t="n"/>
      <c r="B267" s="41" t="n"/>
      <c r="C267" s="42" t="n"/>
      <c r="D267" s="29">
        <f>IF($B267="","",IFERROR(INDEX(機種マスタ!$A$4:$A$203,MATCH($B267,機種マスタ!$B$4:$B$203,0)),"未登録"))</f>
        <v/>
      </c>
      <c r="E267" s="29">
        <f>IF($B267="","",IFERROR(INDEX(機種マスタ!$C$4:$C$203,MATCH($B267,機種マスタ!$B$4:$B$203,0)),"-"))</f>
        <v/>
      </c>
      <c r="F267" s="29">
        <f>IF($B267="","",IFERROR(N(INDEX(機種マスタ!$D$4:$D$203,MATCH($B267,機種マスタ!$B$4:$B$203,0))),0))</f>
        <v/>
      </c>
      <c r="G267" s="29">
        <f>IF($B267="","",IF($C267="",1,$C267))</f>
        <v/>
      </c>
      <c r="H267" s="29">
        <f>IF($B267="","",F267*G267)</f>
        <v/>
      </c>
    </row>
    <row r="268">
      <c r="A268" s="40" t="n"/>
      <c r="B268" s="41" t="n"/>
      <c r="C268" s="42" t="n"/>
      <c r="D268" s="29">
        <f>IF($B268="","",IFERROR(INDEX(機種マスタ!$A$4:$A$203,MATCH($B268,機種マスタ!$B$4:$B$203,0)),"未登録"))</f>
        <v/>
      </c>
      <c r="E268" s="29">
        <f>IF($B268="","",IFERROR(INDEX(機種マスタ!$C$4:$C$203,MATCH($B268,機種マスタ!$B$4:$B$203,0)),"-"))</f>
        <v/>
      </c>
      <c r="F268" s="29">
        <f>IF($B268="","",IFERROR(N(INDEX(機種マスタ!$D$4:$D$203,MATCH($B268,機種マスタ!$B$4:$B$203,0))),0))</f>
        <v/>
      </c>
      <c r="G268" s="29">
        <f>IF($B268="","",IF($C268="",1,$C268))</f>
        <v/>
      </c>
      <c r="H268" s="29">
        <f>IF($B268="","",F268*G268)</f>
        <v/>
      </c>
    </row>
    <row r="269">
      <c r="A269" s="40" t="n"/>
      <c r="B269" s="41" t="n"/>
      <c r="C269" s="42" t="n"/>
      <c r="D269" s="29">
        <f>IF($B269="","",IFERROR(INDEX(機種マスタ!$A$4:$A$203,MATCH($B269,機種マスタ!$B$4:$B$203,0)),"未登録"))</f>
        <v/>
      </c>
      <c r="E269" s="29">
        <f>IF($B269="","",IFERROR(INDEX(機種マスタ!$C$4:$C$203,MATCH($B269,機種マスタ!$B$4:$B$203,0)),"-"))</f>
        <v/>
      </c>
      <c r="F269" s="29">
        <f>IF($B269="","",IFERROR(N(INDEX(機種マスタ!$D$4:$D$203,MATCH($B269,機種マスタ!$B$4:$B$203,0))),0))</f>
        <v/>
      </c>
      <c r="G269" s="29">
        <f>IF($B269="","",IF($C269="",1,$C269))</f>
        <v/>
      </c>
      <c r="H269" s="29">
        <f>IF($B269="","",F269*G269)</f>
        <v/>
      </c>
    </row>
    <row r="270">
      <c r="A270" s="40" t="n"/>
      <c r="B270" s="41" t="n"/>
      <c r="C270" s="42" t="n"/>
      <c r="D270" s="29">
        <f>IF($B270="","",IFERROR(INDEX(機種マスタ!$A$4:$A$203,MATCH($B270,機種マスタ!$B$4:$B$203,0)),"未登録"))</f>
        <v/>
      </c>
      <c r="E270" s="29">
        <f>IF($B270="","",IFERROR(INDEX(機種マスタ!$C$4:$C$203,MATCH($B270,機種マスタ!$B$4:$B$203,0)),"-"))</f>
        <v/>
      </c>
      <c r="F270" s="29">
        <f>IF($B270="","",IFERROR(N(INDEX(機種マスタ!$D$4:$D$203,MATCH($B270,機種マスタ!$B$4:$B$203,0))),0))</f>
        <v/>
      </c>
      <c r="G270" s="29">
        <f>IF($B270="","",IF($C270="",1,$C270))</f>
        <v/>
      </c>
      <c r="H270" s="29">
        <f>IF($B270="","",F270*G270)</f>
        <v/>
      </c>
    </row>
    <row r="271">
      <c r="A271" s="40" t="n"/>
      <c r="B271" s="41" t="n"/>
      <c r="C271" s="42" t="n"/>
      <c r="D271" s="29">
        <f>IF($B271="","",IFERROR(INDEX(機種マスタ!$A$4:$A$203,MATCH($B271,機種マスタ!$B$4:$B$203,0)),"未登録"))</f>
        <v/>
      </c>
      <c r="E271" s="29">
        <f>IF($B271="","",IFERROR(INDEX(機種マスタ!$C$4:$C$203,MATCH($B271,機種マスタ!$B$4:$B$203,0)),"-"))</f>
        <v/>
      </c>
      <c r="F271" s="29">
        <f>IF($B271="","",IFERROR(N(INDEX(機種マスタ!$D$4:$D$203,MATCH($B271,機種マスタ!$B$4:$B$203,0))),0))</f>
        <v/>
      </c>
      <c r="G271" s="29">
        <f>IF($B271="","",IF($C271="",1,$C271))</f>
        <v/>
      </c>
      <c r="H271" s="29">
        <f>IF($B271="","",F271*G271)</f>
        <v/>
      </c>
    </row>
    <row r="272">
      <c r="A272" s="40" t="n"/>
      <c r="B272" s="41" t="n"/>
      <c r="C272" s="42" t="n"/>
      <c r="D272" s="29">
        <f>IF($B272="","",IFERROR(INDEX(機種マスタ!$A$4:$A$203,MATCH($B272,機種マスタ!$B$4:$B$203,0)),"未登録"))</f>
        <v/>
      </c>
      <c r="E272" s="29">
        <f>IF($B272="","",IFERROR(INDEX(機種マスタ!$C$4:$C$203,MATCH($B272,機種マスタ!$B$4:$B$203,0)),"-"))</f>
        <v/>
      </c>
      <c r="F272" s="29">
        <f>IF($B272="","",IFERROR(N(INDEX(機種マスタ!$D$4:$D$203,MATCH($B272,機種マスタ!$B$4:$B$203,0))),0))</f>
        <v/>
      </c>
      <c r="G272" s="29">
        <f>IF($B272="","",IF($C272="",1,$C272))</f>
        <v/>
      </c>
      <c r="H272" s="29">
        <f>IF($B272="","",F272*G272)</f>
        <v/>
      </c>
    </row>
    <row r="273">
      <c r="A273" s="40" t="n"/>
      <c r="B273" s="41" t="n"/>
      <c r="C273" s="42" t="n"/>
      <c r="D273" s="29">
        <f>IF($B273="","",IFERROR(INDEX(機種マスタ!$A$4:$A$203,MATCH($B273,機種マスタ!$B$4:$B$203,0)),"未登録"))</f>
        <v/>
      </c>
      <c r="E273" s="29">
        <f>IF($B273="","",IFERROR(INDEX(機種マスタ!$C$4:$C$203,MATCH($B273,機種マスタ!$B$4:$B$203,0)),"-"))</f>
        <v/>
      </c>
      <c r="F273" s="29">
        <f>IF($B273="","",IFERROR(N(INDEX(機種マスタ!$D$4:$D$203,MATCH($B273,機種マスタ!$B$4:$B$203,0))),0))</f>
        <v/>
      </c>
      <c r="G273" s="29">
        <f>IF($B273="","",IF($C273="",1,$C273))</f>
        <v/>
      </c>
      <c r="H273" s="29">
        <f>IF($B273="","",F273*G273)</f>
        <v/>
      </c>
    </row>
    <row r="274">
      <c r="A274" s="40" t="n"/>
      <c r="B274" s="41" t="n"/>
      <c r="C274" s="42" t="n"/>
      <c r="D274" s="29">
        <f>IF($B274="","",IFERROR(INDEX(機種マスタ!$A$4:$A$203,MATCH($B274,機種マスタ!$B$4:$B$203,0)),"未登録"))</f>
        <v/>
      </c>
      <c r="E274" s="29">
        <f>IF($B274="","",IFERROR(INDEX(機種マスタ!$C$4:$C$203,MATCH($B274,機種マスタ!$B$4:$B$203,0)),"-"))</f>
        <v/>
      </c>
      <c r="F274" s="29">
        <f>IF($B274="","",IFERROR(N(INDEX(機種マスタ!$D$4:$D$203,MATCH($B274,機種マスタ!$B$4:$B$203,0))),0))</f>
        <v/>
      </c>
      <c r="G274" s="29">
        <f>IF($B274="","",IF($C274="",1,$C274))</f>
        <v/>
      </c>
      <c r="H274" s="29">
        <f>IF($B274="","",F274*G274)</f>
        <v/>
      </c>
    </row>
    <row r="275">
      <c r="A275" s="40" t="n"/>
      <c r="B275" s="41" t="n"/>
      <c r="C275" s="42" t="n"/>
      <c r="D275" s="29">
        <f>IF($B275="","",IFERROR(INDEX(機種マスタ!$A$4:$A$203,MATCH($B275,機種マスタ!$B$4:$B$203,0)),"未登録"))</f>
        <v/>
      </c>
      <c r="E275" s="29">
        <f>IF($B275="","",IFERROR(INDEX(機種マスタ!$C$4:$C$203,MATCH($B275,機種マスタ!$B$4:$B$203,0)),"-"))</f>
        <v/>
      </c>
      <c r="F275" s="29">
        <f>IF($B275="","",IFERROR(N(INDEX(機種マスタ!$D$4:$D$203,MATCH($B275,機種マスタ!$B$4:$B$203,0))),0))</f>
        <v/>
      </c>
      <c r="G275" s="29">
        <f>IF($B275="","",IF($C275="",1,$C275))</f>
        <v/>
      </c>
      <c r="H275" s="29">
        <f>IF($B275="","",F275*G275)</f>
        <v/>
      </c>
    </row>
    <row r="276">
      <c r="A276" s="40" t="n"/>
      <c r="B276" s="41" t="n"/>
      <c r="C276" s="42" t="n"/>
      <c r="D276" s="29">
        <f>IF($B276="","",IFERROR(INDEX(機種マスタ!$A$4:$A$203,MATCH($B276,機種マスタ!$B$4:$B$203,0)),"未登録"))</f>
        <v/>
      </c>
      <c r="E276" s="29">
        <f>IF($B276="","",IFERROR(INDEX(機種マスタ!$C$4:$C$203,MATCH($B276,機種マスタ!$B$4:$B$203,0)),"-"))</f>
        <v/>
      </c>
      <c r="F276" s="29">
        <f>IF($B276="","",IFERROR(N(INDEX(機種マスタ!$D$4:$D$203,MATCH($B276,機種マスタ!$B$4:$B$203,0))),0))</f>
        <v/>
      </c>
      <c r="G276" s="29">
        <f>IF($B276="","",IF($C276="",1,$C276))</f>
        <v/>
      </c>
      <c r="H276" s="29">
        <f>IF($B276="","",F276*G276)</f>
        <v/>
      </c>
    </row>
    <row r="277">
      <c r="A277" s="40" t="n"/>
      <c r="B277" s="41" t="n"/>
      <c r="C277" s="42" t="n"/>
      <c r="D277" s="29">
        <f>IF($B277="","",IFERROR(INDEX(機種マスタ!$A$4:$A$203,MATCH($B277,機種マスタ!$B$4:$B$203,0)),"未登録"))</f>
        <v/>
      </c>
      <c r="E277" s="29">
        <f>IF($B277="","",IFERROR(INDEX(機種マスタ!$C$4:$C$203,MATCH($B277,機種マスタ!$B$4:$B$203,0)),"-"))</f>
        <v/>
      </c>
      <c r="F277" s="29">
        <f>IF($B277="","",IFERROR(N(INDEX(機種マスタ!$D$4:$D$203,MATCH($B277,機種マスタ!$B$4:$B$203,0))),0))</f>
        <v/>
      </c>
      <c r="G277" s="29">
        <f>IF($B277="","",IF($C277="",1,$C277))</f>
        <v/>
      </c>
      <c r="H277" s="29">
        <f>IF($B277="","",F277*G277)</f>
        <v/>
      </c>
    </row>
    <row r="278">
      <c r="A278" s="40" t="n"/>
      <c r="B278" s="41" t="n"/>
      <c r="C278" s="42" t="n"/>
      <c r="D278" s="29">
        <f>IF($B278="","",IFERROR(INDEX(機種マスタ!$A$4:$A$203,MATCH($B278,機種マスタ!$B$4:$B$203,0)),"未登録"))</f>
        <v/>
      </c>
      <c r="E278" s="29">
        <f>IF($B278="","",IFERROR(INDEX(機種マスタ!$C$4:$C$203,MATCH($B278,機種マスタ!$B$4:$B$203,0)),"-"))</f>
        <v/>
      </c>
      <c r="F278" s="29">
        <f>IF($B278="","",IFERROR(N(INDEX(機種マスタ!$D$4:$D$203,MATCH($B278,機種マスタ!$B$4:$B$203,0))),0))</f>
        <v/>
      </c>
      <c r="G278" s="29">
        <f>IF($B278="","",IF($C278="",1,$C278))</f>
        <v/>
      </c>
      <c r="H278" s="29">
        <f>IF($B278="","",F278*G278)</f>
        <v/>
      </c>
    </row>
    <row r="279">
      <c r="A279" s="40" t="n"/>
      <c r="B279" s="41" t="n"/>
      <c r="C279" s="42" t="n"/>
      <c r="D279" s="29">
        <f>IF($B279="","",IFERROR(INDEX(機種マスタ!$A$4:$A$203,MATCH($B279,機種マスタ!$B$4:$B$203,0)),"未登録"))</f>
        <v/>
      </c>
      <c r="E279" s="29">
        <f>IF($B279="","",IFERROR(INDEX(機種マスタ!$C$4:$C$203,MATCH($B279,機種マスタ!$B$4:$B$203,0)),"-"))</f>
        <v/>
      </c>
      <c r="F279" s="29">
        <f>IF($B279="","",IFERROR(N(INDEX(機種マスタ!$D$4:$D$203,MATCH($B279,機種マスタ!$B$4:$B$203,0))),0))</f>
        <v/>
      </c>
      <c r="G279" s="29">
        <f>IF($B279="","",IF($C279="",1,$C279))</f>
        <v/>
      </c>
      <c r="H279" s="29">
        <f>IF($B279="","",F279*G279)</f>
        <v/>
      </c>
    </row>
    <row r="280">
      <c r="A280" s="40" t="n"/>
      <c r="B280" s="41" t="n"/>
      <c r="C280" s="42" t="n"/>
      <c r="D280" s="29">
        <f>IF($B280="","",IFERROR(INDEX(機種マスタ!$A$4:$A$203,MATCH($B280,機種マスタ!$B$4:$B$203,0)),"未登録"))</f>
        <v/>
      </c>
      <c r="E280" s="29">
        <f>IF($B280="","",IFERROR(INDEX(機種マスタ!$C$4:$C$203,MATCH($B280,機種マスタ!$B$4:$B$203,0)),"-"))</f>
        <v/>
      </c>
      <c r="F280" s="29">
        <f>IF($B280="","",IFERROR(N(INDEX(機種マスタ!$D$4:$D$203,MATCH($B280,機種マスタ!$B$4:$B$203,0))),0))</f>
        <v/>
      </c>
      <c r="G280" s="29">
        <f>IF($B280="","",IF($C280="",1,$C280))</f>
        <v/>
      </c>
      <c r="H280" s="29">
        <f>IF($B280="","",F280*G280)</f>
        <v/>
      </c>
    </row>
    <row r="281">
      <c r="A281" s="40" t="n"/>
      <c r="B281" s="41" t="n"/>
      <c r="C281" s="42" t="n"/>
      <c r="D281" s="29">
        <f>IF($B281="","",IFERROR(INDEX(機種マスタ!$A$4:$A$203,MATCH($B281,機種マスタ!$B$4:$B$203,0)),"未登録"))</f>
        <v/>
      </c>
      <c r="E281" s="29">
        <f>IF($B281="","",IFERROR(INDEX(機種マスタ!$C$4:$C$203,MATCH($B281,機種マスタ!$B$4:$B$203,0)),"-"))</f>
        <v/>
      </c>
      <c r="F281" s="29">
        <f>IF($B281="","",IFERROR(N(INDEX(機種マスタ!$D$4:$D$203,MATCH($B281,機種マスタ!$B$4:$B$203,0))),0))</f>
        <v/>
      </c>
      <c r="G281" s="29">
        <f>IF($B281="","",IF($C281="",1,$C281))</f>
        <v/>
      </c>
      <c r="H281" s="29">
        <f>IF($B281="","",F281*G281)</f>
        <v/>
      </c>
    </row>
    <row r="282">
      <c r="A282" s="40" t="n"/>
      <c r="B282" s="41" t="n"/>
      <c r="C282" s="42" t="n"/>
      <c r="D282" s="29">
        <f>IF($B282="","",IFERROR(INDEX(機種マスタ!$A$4:$A$203,MATCH($B282,機種マスタ!$B$4:$B$203,0)),"未登録"))</f>
        <v/>
      </c>
      <c r="E282" s="29">
        <f>IF($B282="","",IFERROR(INDEX(機種マスタ!$C$4:$C$203,MATCH($B282,機種マスタ!$B$4:$B$203,0)),"-"))</f>
        <v/>
      </c>
      <c r="F282" s="29">
        <f>IF($B282="","",IFERROR(N(INDEX(機種マスタ!$D$4:$D$203,MATCH($B282,機種マスタ!$B$4:$B$203,0))),0))</f>
        <v/>
      </c>
      <c r="G282" s="29">
        <f>IF($B282="","",IF($C282="",1,$C282))</f>
        <v/>
      </c>
      <c r="H282" s="29">
        <f>IF($B282="","",F282*G282)</f>
        <v/>
      </c>
    </row>
    <row r="283">
      <c r="A283" s="40" t="n"/>
      <c r="B283" s="41" t="n"/>
      <c r="C283" s="42" t="n"/>
      <c r="D283" s="29">
        <f>IF($B283="","",IFERROR(INDEX(機種マスタ!$A$4:$A$203,MATCH($B283,機種マスタ!$B$4:$B$203,0)),"未登録"))</f>
        <v/>
      </c>
      <c r="E283" s="29">
        <f>IF($B283="","",IFERROR(INDEX(機種マスタ!$C$4:$C$203,MATCH($B283,機種マスタ!$B$4:$B$203,0)),"-"))</f>
        <v/>
      </c>
      <c r="F283" s="29">
        <f>IF($B283="","",IFERROR(N(INDEX(機種マスタ!$D$4:$D$203,MATCH($B283,機種マスタ!$B$4:$B$203,0))),0))</f>
        <v/>
      </c>
      <c r="G283" s="29">
        <f>IF($B283="","",IF($C283="",1,$C283))</f>
        <v/>
      </c>
      <c r="H283" s="29">
        <f>IF($B283="","",F283*G283)</f>
        <v/>
      </c>
    </row>
    <row r="284">
      <c r="A284" s="40" t="n"/>
      <c r="B284" s="41" t="n"/>
      <c r="C284" s="42" t="n"/>
      <c r="D284" s="29">
        <f>IF($B284="","",IFERROR(INDEX(機種マスタ!$A$4:$A$203,MATCH($B284,機種マスタ!$B$4:$B$203,0)),"未登録"))</f>
        <v/>
      </c>
      <c r="E284" s="29">
        <f>IF($B284="","",IFERROR(INDEX(機種マスタ!$C$4:$C$203,MATCH($B284,機種マスタ!$B$4:$B$203,0)),"-"))</f>
        <v/>
      </c>
      <c r="F284" s="29">
        <f>IF($B284="","",IFERROR(N(INDEX(機種マスタ!$D$4:$D$203,MATCH($B284,機種マスタ!$B$4:$B$203,0))),0))</f>
        <v/>
      </c>
      <c r="G284" s="29">
        <f>IF($B284="","",IF($C284="",1,$C284))</f>
        <v/>
      </c>
      <c r="H284" s="29">
        <f>IF($B284="","",F284*G284)</f>
        <v/>
      </c>
    </row>
    <row r="285">
      <c r="A285" s="40" t="n"/>
      <c r="B285" s="41" t="n"/>
      <c r="C285" s="42" t="n"/>
      <c r="D285" s="29">
        <f>IF($B285="","",IFERROR(INDEX(機種マスタ!$A$4:$A$203,MATCH($B285,機種マスタ!$B$4:$B$203,0)),"未登録"))</f>
        <v/>
      </c>
      <c r="E285" s="29">
        <f>IF($B285="","",IFERROR(INDEX(機種マスタ!$C$4:$C$203,MATCH($B285,機種マスタ!$B$4:$B$203,0)),"-"))</f>
        <v/>
      </c>
      <c r="F285" s="29">
        <f>IF($B285="","",IFERROR(N(INDEX(機種マスタ!$D$4:$D$203,MATCH($B285,機種マスタ!$B$4:$B$203,0))),0))</f>
        <v/>
      </c>
      <c r="G285" s="29">
        <f>IF($B285="","",IF($C285="",1,$C285))</f>
        <v/>
      </c>
      <c r="H285" s="29">
        <f>IF($B285="","",F285*G285)</f>
        <v/>
      </c>
    </row>
    <row r="286">
      <c r="A286" s="40" t="n"/>
      <c r="B286" s="41" t="n"/>
      <c r="C286" s="42" t="n"/>
      <c r="D286" s="29">
        <f>IF($B286="","",IFERROR(INDEX(機種マスタ!$A$4:$A$203,MATCH($B286,機種マスタ!$B$4:$B$203,0)),"未登録"))</f>
        <v/>
      </c>
      <c r="E286" s="29">
        <f>IF($B286="","",IFERROR(INDEX(機種マスタ!$C$4:$C$203,MATCH($B286,機種マスタ!$B$4:$B$203,0)),"-"))</f>
        <v/>
      </c>
      <c r="F286" s="29">
        <f>IF($B286="","",IFERROR(N(INDEX(機種マスタ!$D$4:$D$203,MATCH($B286,機種マスタ!$B$4:$B$203,0))),0))</f>
        <v/>
      </c>
      <c r="G286" s="29">
        <f>IF($B286="","",IF($C286="",1,$C286))</f>
        <v/>
      </c>
      <c r="H286" s="29">
        <f>IF($B286="","",F286*G286)</f>
        <v/>
      </c>
    </row>
    <row r="287">
      <c r="A287" s="40" t="n"/>
      <c r="B287" s="41" t="n"/>
      <c r="C287" s="42" t="n"/>
      <c r="D287" s="29">
        <f>IF($B287="","",IFERROR(INDEX(機種マスタ!$A$4:$A$203,MATCH($B287,機種マスタ!$B$4:$B$203,0)),"未登録"))</f>
        <v/>
      </c>
      <c r="E287" s="29">
        <f>IF($B287="","",IFERROR(INDEX(機種マスタ!$C$4:$C$203,MATCH($B287,機種マスタ!$B$4:$B$203,0)),"-"))</f>
        <v/>
      </c>
      <c r="F287" s="29">
        <f>IF($B287="","",IFERROR(N(INDEX(機種マスタ!$D$4:$D$203,MATCH($B287,機種マスタ!$B$4:$B$203,0))),0))</f>
        <v/>
      </c>
      <c r="G287" s="29">
        <f>IF($B287="","",IF($C287="",1,$C287))</f>
        <v/>
      </c>
      <c r="H287" s="29">
        <f>IF($B287="","",F287*G287)</f>
        <v/>
      </c>
    </row>
    <row r="288">
      <c r="A288" s="40" t="n"/>
      <c r="B288" s="41" t="n"/>
      <c r="C288" s="42" t="n"/>
      <c r="D288" s="29">
        <f>IF($B288="","",IFERROR(INDEX(機種マスタ!$A$4:$A$203,MATCH($B288,機種マスタ!$B$4:$B$203,0)),"未登録"))</f>
        <v/>
      </c>
      <c r="E288" s="29">
        <f>IF($B288="","",IFERROR(INDEX(機種マスタ!$C$4:$C$203,MATCH($B288,機種マスタ!$B$4:$B$203,0)),"-"))</f>
        <v/>
      </c>
      <c r="F288" s="29">
        <f>IF($B288="","",IFERROR(N(INDEX(機種マスタ!$D$4:$D$203,MATCH($B288,機種マスタ!$B$4:$B$203,0))),0))</f>
        <v/>
      </c>
      <c r="G288" s="29">
        <f>IF($B288="","",IF($C288="",1,$C288))</f>
        <v/>
      </c>
      <c r="H288" s="29">
        <f>IF($B288="","",F288*G288)</f>
        <v/>
      </c>
    </row>
    <row r="289">
      <c r="A289" s="40" t="n"/>
      <c r="B289" s="41" t="n"/>
      <c r="C289" s="42" t="n"/>
      <c r="D289" s="29">
        <f>IF($B289="","",IFERROR(INDEX(機種マスタ!$A$4:$A$203,MATCH($B289,機種マスタ!$B$4:$B$203,0)),"未登録"))</f>
        <v/>
      </c>
      <c r="E289" s="29">
        <f>IF($B289="","",IFERROR(INDEX(機種マスタ!$C$4:$C$203,MATCH($B289,機種マスタ!$B$4:$B$203,0)),"-"))</f>
        <v/>
      </c>
      <c r="F289" s="29">
        <f>IF($B289="","",IFERROR(N(INDEX(機種マスタ!$D$4:$D$203,MATCH($B289,機種マスタ!$B$4:$B$203,0))),0))</f>
        <v/>
      </c>
      <c r="G289" s="29">
        <f>IF($B289="","",IF($C289="",1,$C289))</f>
        <v/>
      </c>
      <c r="H289" s="29">
        <f>IF($B289="","",F289*G289)</f>
        <v/>
      </c>
    </row>
    <row r="290">
      <c r="A290" s="40" t="n"/>
      <c r="B290" s="41" t="n"/>
      <c r="C290" s="42" t="n"/>
      <c r="D290" s="29">
        <f>IF($B290="","",IFERROR(INDEX(機種マスタ!$A$4:$A$203,MATCH($B290,機種マスタ!$B$4:$B$203,0)),"未登録"))</f>
        <v/>
      </c>
      <c r="E290" s="29">
        <f>IF($B290="","",IFERROR(INDEX(機種マスタ!$C$4:$C$203,MATCH($B290,機種マスタ!$B$4:$B$203,0)),"-"))</f>
        <v/>
      </c>
      <c r="F290" s="29">
        <f>IF($B290="","",IFERROR(N(INDEX(機種マスタ!$D$4:$D$203,MATCH($B290,機種マスタ!$B$4:$B$203,0))),0))</f>
        <v/>
      </c>
      <c r="G290" s="29">
        <f>IF($B290="","",IF($C290="",1,$C290))</f>
        <v/>
      </c>
      <c r="H290" s="29">
        <f>IF($B290="","",F290*G290)</f>
        <v/>
      </c>
    </row>
    <row r="291">
      <c r="A291" s="40" t="n"/>
      <c r="B291" s="41" t="n"/>
      <c r="C291" s="42" t="n"/>
      <c r="D291" s="29">
        <f>IF($B291="","",IFERROR(INDEX(機種マスタ!$A$4:$A$203,MATCH($B291,機種マスタ!$B$4:$B$203,0)),"未登録"))</f>
        <v/>
      </c>
      <c r="E291" s="29">
        <f>IF($B291="","",IFERROR(INDEX(機種マスタ!$C$4:$C$203,MATCH($B291,機種マスタ!$B$4:$B$203,0)),"-"))</f>
        <v/>
      </c>
      <c r="F291" s="29">
        <f>IF($B291="","",IFERROR(N(INDEX(機種マスタ!$D$4:$D$203,MATCH($B291,機種マスタ!$B$4:$B$203,0))),0))</f>
        <v/>
      </c>
      <c r="G291" s="29">
        <f>IF($B291="","",IF($C291="",1,$C291))</f>
        <v/>
      </c>
      <c r="H291" s="29">
        <f>IF($B291="","",F291*G291)</f>
        <v/>
      </c>
    </row>
    <row r="292">
      <c r="A292" s="40" t="n"/>
      <c r="B292" s="41" t="n"/>
      <c r="C292" s="42" t="n"/>
      <c r="D292" s="29">
        <f>IF($B292="","",IFERROR(INDEX(機種マスタ!$A$4:$A$203,MATCH($B292,機種マスタ!$B$4:$B$203,0)),"未登録"))</f>
        <v/>
      </c>
      <c r="E292" s="29">
        <f>IF($B292="","",IFERROR(INDEX(機種マスタ!$C$4:$C$203,MATCH($B292,機種マスタ!$B$4:$B$203,0)),"-"))</f>
        <v/>
      </c>
      <c r="F292" s="29">
        <f>IF($B292="","",IFERROR(N(INDEX(機種マスタ!$D$4:$D$203,MATCH($B292,機種マスタ!$B$4:$B$203,0))),0))</f>
        <v/>
      </c>
      <c r="G292" s="29">
        <f>IF($B292="","",IF($C292="",1,$C292))</f>
        <v/>
      </c>
      <c r="H292" s="29">
        <f>IF($B292="","",F292*G292)</f>
        <v/>
      </c>
    </row>
    <row r="293">
      <c r="A293" s="40" t="n"/>
      <c r="B293" s="41" t="n"/>
      <c r="C293" s="42" t="n"/>
      <c r="D293" s="29">
        <f>IF($B293="","",IFERROR(INDEX(機種マスタ!$A$4:$A$203,MATCH($B293,機種マスタ!$B$4:$B$203,0)),"未登録"))</f>
        <v/>
      </c>
      <c r="E293" s="29">
        <f>IF($B293="","",IFERROR(INDEX(機種マスタ!$C$4:$C$203,MATCH($B293,機種マスタ!$B$4:$B$203,0)),"-"))</f>
        <v/>
      </c>
      <c r="F293" s="29">
        <f>IF($B293="","",IFERROR(N(INDEX(機種マスタ!$D$4:$D$203,MATCH($B293,機種マスタ!$B$4:$B$203,0))),0))</f>
        <v/>
      </c>
      <c r="G293" s="29">
        <f>IF($B293="","",IF($C293="",1,$C293))</f>
        <v/>
      </c>
      <c r="H293" s="29">
        <f>IF($B293="","",F293*G293)</f>
        <v/>
      </c>
    </row>
    <row r="294">
      <c r="A294" s="40" t="n"/>
      <c r="B294" s="41" t="n"/>
      <c r="C294" s="42" t="n"/>
      <c r="D294" s="29">
        <f>IF($B294="","",IFERROR(INDEX(機種マスタ!$A$4:$A$203,MATCH($B294,機種マスタ!$B$4:$B$203,0)),"未登録"))</f>
        <v/>
      </c>
      <c r="E294" s="29">
        <f>IF($B294="","",IFERROR(INDEX(機種マスタ!$C$4:$C$203,MATCH($B294,機種マスタ!$B$4:$B$203,0)),"-"))</f>
        <v/>
      </c>
      <c r="F294" s="29">
        <f>IF($B294="","",IFERROR(N(INDEX(機種マスタ!$D$4:$D$203,MATCH($B294,機種マスタ!$B$4:$B$203,0))),0))</f>
        <v/>
      </c>
      <c r="G294" s="29">
        <f>IF($B294="","",IF($C294="",1,$C294))</f>
        <v/>
      </c>
      <c r="H294" s="29">
        <f>IF($B294="","",F294*G294)</f>
        <v/>
      </c>
    </row>
    <row r="295">
      <c r="A295" s="40" t="n"/>
      <c r="B295" s="41" t="n"/>
      <c r="C295" s="42" t="n"/>
      <c r="D295" s="29">
        <f>IF($B295="","",IFERROR(INDEX(機種マスタ!$A$4:$A$203,MATCH($B295,機種マスタ!$B$4:$B$203,0)),"未登録"))</f>
        <v/>
      </c>
      <c r="E295" s="29">
        <f>IF($B295="","",IFERROR(INDEX(機種マスタ!$C$4:$C$203,MATCH($B295,機種マスタ!$B$4:$B$203,0)),"-"))</f>
        <v/>
      </c>
      <c r="F295" s="29">
        <f>IF($B295="","",IFERROR(N(INDEX(機種マスタ!$D$4:$D$203,MATCH($B295,機種マスタ!$B$4:$B$203,0))),0))</f>
        <v/>
      </c>
      <c r="G295" s="29">
        <f>IF($B295="","",IF($C295="",1,$C295))</f>
        <v/>
      </c>
      <c r="H295" s="29">
        <f>IF($B295="","",F295*G295)</f>
        <v/>
      </c>
    </row>
    <row r="296">
      <c r="A296" s="40" t="n"/>
      <c r="B296" s="41" t="n"/>
      <c r="C296" s="42" t="n"/>
      <c r="D296" s="29">
        <f>IF($B296="","",IFERROR(INDEX(機種マスタ!$A$4:$A$203,MATCH($B296,機種マスタ!$B$4:$B$203,0)),"未登録"))</f>
        <v/>
      </c>
      <c r="E296" s="29">
        <f>IF($B296="","",IFERROR(INDEX(機種マスタ!$C$4:$C$203,MATCH($B296,機種マスタ!$B$4:$B$203,0)),"-"))</f>
        <v/>
      </c>
      <c r="F296" s="29">
        <f>IF($B296="","",IFERROR(N(INDEX(機種マスタ!$D$4:$D$203,MATCH($B296,機種マスタ!$B$4:$B$203,0))),0))</f>
        <v/>
      </c>
      <c r="G296" s="29">
        <f>IF($B296="","",IF($C296="",1,$C296))</f>
        <v/>
      </c>
      <c r="H296" s="29">
        <f>IF($B296="","",F296*G296)</f>
        <v/>
      </c>
    </row>
    <row r="297">
      <c r="A297" s="40" t="n"/>
      <c r="B297" s="41" t="n"/>
      <c r="C297" s="42" t="n"/>
      <c r="D297" s="29">
        <f>IF($B297="","",IFERROR(INDEX(機種マスタ!$A$4:$A$203,MATCH($B297,機種マスタ!$B$4:$B$203,0)),"未登録"))</f>
        <v/>
      </c>
      <c r="E297" s="29">
        <f>IF($B297="","",IFERROR(INDEX(機種マスタ!$C$4:$C$203,MATCH($B297,機種マスタ!$B$4:$B$203,0)),"-"))</f>
        <v/>
      </c>
      <c r="F297" s="29">
        <f>IF($B297="","",IFERROR(N(INDEX(機種マスタ!$D$4:$D$203,MATCH($B297,機種マスタ!$B$4:$B$203,0))),0))</f>
        <v/>
      </c>
      <c r="G297" s="29">
        <f>IF($B297="","",IF($C297="",1,$C297))</f>
        <v/>
      </c>
      <c r="H297" s="29">
        <f>IF($B297="","",F297*G297)</f>
        <v/>
      </c>
    </row>
    <row r="298">
      <c r="A298" s="40" t="n"/>
      <c r="B298" s="41" t="n"/>
      <c r="C298" s="42" t="n"/>
      <c r="D298" s="29">
        <f>IF($B298="","",IFERROR(INDEX(機種マスタ!$A$4:$A$203,MATCH($B298,機種マスタ!$B$4:$B$203,0)),"未登録"))</f>
        <v/>
      </c>
      <c r="E298" s="29">
        <f>IF($B298="","",IFERROR(INDEX(機種マスタ!$C$4:$C$203,MATCH($B298,機種マスタ!$B$4:$B$203,0)),"-"))</f>
        <v/>
      </c>
      <c r="F298" s="29">
        <f>IF($B298="","",IFERROR(N(INDEX(機種マスタ!$D$4:$D$203,MATCH($B298,機種マスタ!$B$4:$B$203,0))),0))</f>
        <v/>
      </c>
      <c r="G298" s="29">
        <f>IF($B298="","",IF($C298="",1,$C298))</f>
        <v/>
      </c>
      <c r="H298" s="29">
        <f>IF($B298="","",F298*G298)</f>
        <v/>
      </c>
    </row>
    <row r="299">
      <c r="A299" s="40" t="n"/>
      <c r="B299" s="41" t="n"/>
      <c r="C299" s="42" t="n"/>
      <c r="D299" s="29">
        <f>IF($B299="","",IFERROR(INDEX(機種マスタ!$A$4:$A$203,MATCH($B299,機種マスタ!$B$4:$B$203,0)),"未登録"))</f>
        <v/>
      </c>
      <c r="E299" s="29">
        <f>IF($B299="","",IFERROR(INDEX(機種マスタ!$C$4:$C$203,MATCH($B299,機種マスタ!$B$4:$B$203,0)),"-"))</f>
        <v/>
      </c>
      <c r="F299" s="29">
        <f>IF($B299="","",IFERROR(N(INDEX(機種マスタ!$D$4:$D$203,MATCH($B299,機種マスタ!$B$4:$B$203,0))),0))</f>
        <v/>
      </c>
      <c r="G299" s="29">
        <f>IF($B299="","",IF($C299="",1,$C299))</f>
        <v/>
      </c>
      <c r="H299" s="29">
        <f>IF($B299="","",F299*G299)</f>
        <v/>
      </c>
    </row>
    <row r="300">
      <c r="A300" s="40" t="n"/>
      <c r="B300" s="41" t="n"/>
      <c r="C300" s="42" t="n"/>
      <c r="D300" s="29">
        <f>IF($B300="","",IFERROR(INDEX(機種マスタ!$A$4:$A$203,MATCH($B300,機種マスタ!$B$4:$B$203,0)),"未登録"))</f>
        <v/>
      </c>
      <c r="E300" s="29">
        <f>IF($B300="","",IFERROR(INDEX(機種マスタ!$C$4:$C$203,MATCH($B300,機種マスタ!$B$4:$B$203,0)),"-"))</f>
        <v/>
      </c>
      <c r="F300" s="29">
        <f>IF($B300="","",IFERROR(N(INDEX(機種マスタ!$D$4:$D$203,MATCH($B300,機種マスタ!$B$4:$B$203,0))),0))</f>
        <v/>
      </c>
      <c r="G300" s="29">
        <f>IF($B300="","",IF($C300="",1,$C300))</f>
        <v/>
      </c>
      <c r="H300" s="29">
        <f>IF($B300="","",F300*G300)</f>
        <v/>
      </c>
    </row>
    <row r="301">
      <c r="A301" s="40" t="n"/>
      <c r="B301" s="41" t="n"/>
      <c r="C301" s="42" t="n"/>
      <c r="D301" s="29">
        <f>IF($B301="","",IFERROR(INDEX(機種マスタ!$A$4:$A$203,MATCH($B301,機種マスタ!$B$4:$B$203,0)),"未登録"))</f>
        <v/>
      </c>
      <c r="E301" s="29">
        <f>IF($B301="","",IFERROR(INDEX(機種マスタ!$C$4:$C$203,MATCH($B301,機種マスタ!$B$4:$B$203,0)),"-"))</f>
        <v/>
      </c>
      <c r="F301" s="29">
        <f>IF($B301="","",IFERROR(N(INDEX(機種マスタ!$D$4:$D$203,MATCH($B301,機種マスタ!$B$4:$B$203,0))),0))</f>
        <v/>
      </c>
      <c r="G301" s="29">
        <f>IF($B301="","",IF($C301="",1,$C301))</f>
        <v/>
      </c>
      <c r="H301" s="29">
        <f>IF($B301="","",F301*G301)</f>
        <v/>
      </c>
    </row>
    <row r="302">
      <c r="A302" s="40" t="n"/>
      <c r="B302" s="41" t="n"/>
      <c r="C302" s="42" t="n"/>
      <c r="D302" s="29">
        <f>IF($B302="","",IFERROR(INDEX(機種マスタ!$A$4:$A$203,MATCH($B302,機種マスタ!$B$4:$B$203,0)),"未登録"))</f>
        <v/>
      </c>
      <c r="E302" s="29">
        <f>IF($B302="","",IFERROR(INDEX(機種マスタ!$C$4:$C$203,MATCH($B302,機種マスタ!$B$4:$B$203,0)),"-"))</f>
        <v/>
      </c>
      <c r="F302" s="29">
        <f>IF($B302="","",IFERROR(N(INDEX(機種マスタ!$D$4:$D$203,MATCH($B302,機種マスタ!$B$4:$B$203,0))),0))</f>
        <v/>
      </c>
      <c r="G302" s="29">
        <f>IF($B302="","",IF($C302="",1,$C302))</f>
        <v/>
      </c>
      <c r="H302" s="29">
        <f>IF($B302="","",F302*G302)</f>
        <v/>
      </c>
    </row>
    <row r="303">
      <c r="A303" s="40" t="n"/>
      <c r="B303" s="41" t="n"/>
      <c r="C303" s="42" t="n"/>
      <c r="D303" s="29">
        <f>IF($B303="","",IFERROR(INDEX(機種マスタ!$A$4:$A$203,MATCH($B303,機種マスタ!$B$4:$B$203,0)),"未登録"))</f>
        <v/>
      </c>
      <c r="E303" s="29">
        <f>IF($B303="","",IFERROR(INDEX(機種マスタ!$C$4:$C$203,MATCH($B303,機種マスタ!$B$4:$B$203,0)),"-"))</f>
        <v/>
      </c>
      <c r="F303" s="29">
        <f>IF($B303="","",IFERROR(N(INDEX(機種マスタ!$D$4:$D$203,MATCH($B303,機種マスタ!$B$4:$B$203,0))),0))</f>
        <v/>
      </c>
      <c r="G303" s="29">
        <f>IF($B303="","",IF($C303="",1,$C303))</f>
        <v/>
      </c>
      <c r="H303" s="29">
        <f>IF($B303="","",F303*G303)</f>
        <v/>
      </c>
    </row>
    <row r="304">
      <c r="A304" s="40" t="n"/>
      <c r="B304" s="41" t="n"/>
      <c r="C304" s="42" t="n"/>
      <c r="D304" s="29">
        <f>IF($B304="","",IFERROR(INDEX(機種マスタ!$A$4:$A$203,MATCH($B304,機種マスタ!$B$4:$B$203,0)),"未登録"))</f>
        <v/>
      </c>
      <c r="E304" s="29">
        <f>IF($B304="","",IFERROR(INDEX(機種マスタ!$C$4:$C$203,MATCH($B304,機種マスタ!$B$4:$B$203,0)),"-"))</f>
        <v/>
      </c>
      <c r="F304" s="29">
        <f>IF($B304="","",IFERROR(N(INDEX(機種マスタ!$D$4:$D$203,MATCH($B304,機種マスタ!$B$4:$B$203,0))),0))</f>
        <v/>
      </c>
      <c r="G304" s="29">
        <f>IF($B304="","",IF($C304="",1,$C304))</f>
        <v/>
      </c>
      <c r="H304" s="29">
        <f>IF($B304="","",F304*G304)</f>
        <v/>
      </c>
    </row>
    <row r="305">
      <c r="A305" s="40" t="n"/>
      <c r="B305" s="41" t="n"/>
      <c r="C305" s="42" t="n"/>
      <c r="D305" s="29">
        <f>IF($B305="","",IFERROR(INDEX(機種マスタ!$A$4:$A$203,MATCH($B305,機種マスタ!$B$4:$B$203,0)),"未登録"))</f>
        <v/>
      </c>
      <c r="E305" s="29">
        <f>IF($B305="","",IFERROR(INDEX(機種マスタ!$C$4:$C$203,MATCH($B305,機種マスタ!$B$4:$B$203,0)),"-"))</f>
        <v/>
      </c>
      <c r="F305" s="29">
        <f>IF($B305="","",IFERROR(N(INDEX(機種マスタ!$D$4:$D$203,MATCH($B305,機種マスタ!$B$4:$B$203,0))),0))</f>
        <v/>
      </c>
      <c r="G305" s="29">
        <f>IF($B305="","",IF($C305="",1,$C305))</f>
        <v/>
      </c>
      <c r="H305" s="29">
        <f>IF($B305="","",F305*G305)</f>
        <v/>
      </c>
    </row>
    <row r="306">
      <c r="A306" s="40" t="n"/>
      <c r="B306" s="41" t="n"/>
      <c r="C306" s="42" t="n"/>
      <c r="D306" s="29">
        <f>IF($B306="","",IFERROR(INDEX(機種マスタ!$A$4:$A$203,MATCH($B306,機種マスタ!$B$4:$B$203,0)),"未登録"))</f>
        <v/>
      </c>
      <c r="E306" s="29">
        <f>IF($B306="","",IFERROR(INDEX(機種マスタ!$C$4:$C$203,MATCH($B306,機種マスタ!$B$4:$B$203,0)),"-"))</f>
        <v/>
      </c>
      <c r="F306" s="29">
        <f>IF($B306="","",IFERROR(N(INDEX(機種マスタ!$D$4:$D$203,MATCH($B306,機種マスタ!$B$4:$B$203,0))),0))</f>
        <v/>
      </c>
      <c r="G306" s="29">
        <f>IF($B306="","",IF($C306="",1,$C306))</f>
        <v/>
      </c>
      <c r="H306" s="29">
        <f>IF($B306="","",F306*G306)</f>
        <v/>
      </c>
    </row>
    <row r="307">
      <c r="A307" s="40" t="n"/>
      <c r="B307" s="41" t="n"/>
      <c r="C307" s="42" t="n"/>
      <c r="D307" s="29">
        <f>IF($B307="","",IFERROR(INDEX(機種マスタ!$A$4:$A$203,MATCH($B307,機種マスタ!$B$4:$B$203,0)),"未登録"))</f>
        <v/>
      </c>
      <c r="E307" s="29">
        <f>IF($B307="","",IFERROR(INDEX(機種マスタ!$C$4:$C$203,MATCH($B307,機種マスタ!$B$4:$B$203,0)),"-"))</f>
        <v/>
      </c>
      <c r="F307" s="29">
        <f>IF($B307="","",IFERROR(N(INDEX(機種マスタ!$D$4:$D$203,MATCH($B307,機種マスタ!$B$4:$B$203,0))),0))</f>
        <v/>
      </c>
      <c r="G307" s="29">
        <f>IF($B307="","",IF($C307="",1,$C307))</f>
        <v/>
      </c>
      <c r="H307" s="29">
        <f>IF($B307="","",F307*G307)</f>
        <v/>
      </c>
    </row>
    <row r="308">
      <c r="A308" s="40" t="n"/>
      <c r="B308" s="41" t="n"/>
      <c r="C308" s="42" t="n"/>
      <c r="D308" s="29">
        <f>IF($B308="","",IFERROR(INDEX(機種マスタ!$A$4:$A$203,MATCH($B308,機種マスタ!$B$4:$B$203,0)),"未登録"))</f>
        <v/>
      </c>
      <c r="E308" s="29">
        <f>IF($B308="","",IFERROR(INDEX(機種マスタ!$C$4:$C$203,MATCH($B308,機種マスタ!$B$4:$B$203,0)),"-"))</f>
        <v/>
      </c>
      <c r="F308" s="29">
        <f>IF($B308="","",IFERROR(N(INDEX(機種マスタ!$D$4:$D$203,MATCH($B308,機種マスタ!$B$4:$B$203,0))),0))</f>
        <v/>
      </c>
      <c r="G308" s="29">
        <f>IF($B308="","",IF($C308="",1,$C308))</f>
        <v/>
      </c>
      <c r="H308" s="29">
        <f>IF($B308="","",F308*G308)</f>
        <v/>
      </c>
    </row>
    <row r="309">
      <c r="A309" s="40" t="n"/>
      <c r="B309" s="41" t="n"/>
      <c r="C309" s="42" t="n"/>
      <c r="D309" s="29">
        <f>IF($B309="","",IFERROR(INDEX(機種マスタ!$A$4:$A$203,MATCH($B309,機種マスタ!$B$4:$B$203,0)),"未登録"))</f>
        <v/>
      </c>
      <c r="E309" s="29">
        <f>IF($B309="","",IFERROR(INDEX(機種マスタ!$C$4:$C$203,MATCH($B309,機種マスタ!$B$4:$B$203,0)),"-"))</f>
        <v/>
      </c>
      <c r="F309" s="29">
        <f>IF($B309="","",IFERROR(N(INDEX(機種マスタ!$D$4:$D$203,MATCH($B309,機種マスタ!$B$4:$B$203,0))),0))</f>
        <v/>
      </c>
      <c r="G309" s="29">
        <f>IF($B309="","",IF($C309="",1,$C309))</f>
        <v/>
      </c>
      <c r="H309" s="29">
        <f>IF($B309="","",F309*G309)</f>
        <v/>
      </c>
    </row>
    <row r="310">
      <c r="A310" s="40" t="n"/>
      <c r="B310" s="41" t="n"/>
      <c r="C310" s="42" t="n"/>
      <c r="D310" s="29">
        <f>IF($B310="","",IFERROR(INDEX(機種マスタ!$A$4:$A$203,MATCH($B310,機種マスタ!$B$4:$B$203,0)),"未登録"))</f>
        <v/>
      </c>
      <c r="E310" s="29">
        <f>IF($B310="","",IFERROR(INDEX(機種マスタ!$C$4:$C$203,MATCH($B310,機種マスタ!$B$4:$B$203,0)),"-"))</f>
        <v/>
      </c>
      <c r="F310" s="29">
        <f>IF($B310="","",IFERROR(N(INDEX(機種マスタ!$D$4:$D$203,MATCH($B310,機種マスタ!$B$4:$B$203,0))),0))</f>
        <v/>
      </c>
      <c r="G310" s="29">
        <f>IF($B310="","",IF($C310="",1,$C310))</f>
        <v/>
      </c>
      <c r="H310" s="29">
        <f>IF($B310="","",F310*G310)</f>
        <v/>
      </c>
    </row>
    <row r="311">
      <c r="A311" s="40" t="n"/>
      <c r="B311" s="41" t="n"/>
      <c r="C311" s="42" t="n"/>
      <c r="D311" s="29">
        <f>IF($B311="","",IFERROR(INDEX(機種マスタ!$A$4:$A$203,MATCH($B311,機種マスタ!$B$4:$B$203,0)),"未登録"))</f>
        <v/>
      </c>
      <c r="E311" s="29">
        <f>IF($B311="","",IFERROR(INDEX(機種マスタ!$C$4:$C$203,MATCH($B311,機種マスタ!$B$4:$B$203,0)),"-"))</f>
        <v/>
      </c>
      <c r="F311" s="29">
        <f>IF($B311="","",IFERROR(N(INDEX(機種マスタ!$D$4:$D$203,MATCH($B311,機種マスタ!$B$4:$B$203,0))),0))</f>
        <v/>
      </c>
      <c r="G311" s="29">
        <f>IF($B311="","",IF($C311="",1,$C311))</f>
        <v/>
      </c>
      <c r="H311" s="29">
        <f>IF($B311="","",F311*G311)</f>
        <v/>
      </c>
    </row>
    <row r="312">
      <c r="A312" s="40" t="n"/>
      <c r="B312" s="41" t="n"/>
      <c r="C312" s="42" t="n"/>
      <c r="D312" s="29">
        <f>IF($B312="","",IFERROR(INDEX(機種マスタ!$A$4:$A$203,MATCH($B312,機種マスタ!$B$4:$B$203,0)),"未登録"))</f>
        <v/>
      </c>
      <c r="E312" s="29">
        <f>IF($B312="","",IFERROR(INDEX(機種マスタ!$C$4:$C$203,MATCH($B312,機種マスタ!$B$4:$B$203,0)),"-"))</f>
        <v/>
      </c>
      <c r="F312" s="29">
        <f>IF($B312="","",IFERROR(N(INDEX(機種マスタ!$D$4:$D$203,MATCH($B312,機種マスタ!$B$4:$B$203,0))),0))</f>
        <v/>
      </c>
      <c r="G312" s="29">
        <f>IF($B312="","",IF($C312="",1,$C312))</f>
        <v/>
      </c>
      <c r="H312" s="29">
        <f>IF($B312="","",F312*G312)</f>
        <v/>
      </c>
    </row>
    <row r="313">
      <c r="A313" s="40" t="n"/>
      <c r="B313" s="41" t="n"/>
      <c r="C313" s="42" t="n"/>
      <c r="D313" s="29">
        <f>IF($B313="","",IFERROR(INDEX(機種マスタ!$A$4:$A$203,MATCH($B313,機種マスタ!$B$4:$B$203,0)),"未登録"))</f>
        <v/>
      </c>
      <c r="E313" s="29">
        <f>IF($B313="","",IFERROR(INDEX(機種マスタ!$C$4:$C$203,MATCH($B313,機種マスタ!$B$4:$B$203,0)),"-"))</f>
        <v/>
      </c>
      <c r="F313" s="29">
        <f>IF($B313="","",IFERROR(N(INDEX(機種マスタ!$D$4:$D$203,MATCH($B313,機種マスタ!$B$4:$B$203,0))),0))</f>
        <v/>
      </c>
      <c r="G313" s="29">
        <f>IF($B313="","",IF($C313="",1,$C313))</f>
        <v/>
      </c>
      <c r="H313" s="29">
        <f>IF($B313="","",F313*G313)</f>
        <v/>
      </c>
    </row>
    <row r="314">
      <c r="A314" s="40" t="n"/>
      <c r="B314" s="41" t="n"/>
      <c r="C314" s="42" t="n"/>
      <c r="D314" s="29">
        <f>IF($B314="","",IFERROR(INDEX(機種マスタ!$A$4:$A$203,MATCH($B314,機種マスタ!$B$4:$B$203,0)),"未登録"))</f>
        <v/>
      </c>
      <c r="E314" s="29">
        <f>IF($B314="","",IFERROR(INDEX(機種マスタ!$C$4:$C$203,MATCH($B314,機種マスタ!$B$4:$B$203,0)),"-"))</f>
        <v/>
      </c>
      <c r="F314" s="29">
        <f>IF($B314="","",IFERROR(N(INDEX(機種マスタ!$D$4:$D$203,MATCH($B314,機種マスタ!$B$4:$B$203,0))),0))</f>
        <v/>
      </c>
      <c r="G314" s="29">
        <f>IF($B314="","",IF($C314="",1,$C314))</f>
        <v/>
      </c>
      <c r="H314" s="29">
        <f>IF($B314="","",F314*G314)</f>
        <v/>
      </c>
    </row>
    <row r="315">
      <c r="A315" s="40" t="n"/>
      <c r="B315" s="41" t="n"/>
      <c r="C315" s="42" t="n"/>
      <c r="D315" s="29">
        <f>IF($B315="","",IFERROR(INDEX(機種マスタ!$A$4:$A$203,MATCH($B315,機種マスタ!$B$4:$B$203,0)),"未登録"))</f>
        <v/>
      </c>
      <c r="E315" s="29">
        <f>IF($B315="","",IFERROR(INDEX(機種マスタ!$C$4:$C$203,MATCH($B315,機種マスタ!$B$4:$B$203,0)),"-"))</f>
        <v/>
      </c>
      <c r="F315" s="29">
        <f>IF($B315="","",IFERROR(N(INDEX(機種マスタ!$D$4:$D$203,MATCH($B315,機種マスタ!$B$4:$B$203,0))),0))</f>
        <v/>
      </c>
      <c r="G315" s="29">
        <f>IF($B315="","",IF($C315="",1,$C315))</f>
        <v/>
      </c>
      <c r="H315" s="29">
        <f>IF($B315="","",F315*G315)</f>
        <v/>
      </c>
    </row>
    <row r="316">
      <c r="A316" s="40" t="n"/>
      <c r="B316" s="41" t="n"/>
      <c r="C316" s="42" t="n"/>
      <c r="D316" s="29">
        <f>IF($B316="","",IFERROR(INDEX(機種マスタ!$A$4:$A$203,MATCH($B316,機種マスタ!$B$4:$B$203,0)),"未登録"))</f>
        <v/>
      </c>
      <c r="E316" s="29">
        <f>IF($B316="","",IFERROR(INDEX(機種マスタ!$C$4:$C$203,MATCH($B316,機種マスタ!$B$4:$B$203,0)),"-"))</f>
        <v/>
      </c>
      <c r="F316" s="29">
        <f>IF($B316="","",IFERROR(N(INDEX(機種マスタ!$D$4:$D$203,MATCH($B316,機種マスタ!$B$4:$B$203,0))),0))</f>
        <v/>
      </c>
      <c r="G316" s="29">
        <f>IF($B316="","",IF($C316="",1,$C316))</f>
        <v/>
      </c>
      <c r="H316" s="29">
        <f>IF($B316="","",F316*G316)</f>
        <v/>
      </c>
    </row>
    <row r="317">
      <c r="A317" s="40" t="n"/>
      <c r="B317" s="41" t="n"/>
      <c r="C317" s="42" t="n"/>
      <c r="D317" s="29">
        <f>IF($B317="","",IFERROR(INDEX(機種マスタ!$A$4:$A$203,MATCH($B317,機種マスタ!$B$4:$B$203,0)),"未登録"))</f>
        <v/>
      </c>
      <c r="E317" s="29">
        <f>IF($B317="","",IFERROR(INDEX(機種マスタ!$C$4:$C$203,MATCH($B317,機種マスタ!$B$4:$B$203,0)),"-"))</f>
        <v/>
      </c>
      <c r="F317" s="29">
        <f>IF($B317="","",IFERROR(N(INDEX(機種マスタ!$D$4:$D$203,MATCH($B317,機種マスタ!$B$4:$B$203,0))),0))</f>
        <v/>
      </c>
      <c r="G317" s="29">
        <f>IF($B317="","",IF($C317="",1,$C317))</f>
        <v/>
      </c>
      <c r="H317" s="29">
        <f>IF($B317="","",F317*G317)</f>
        <v/>
      </c>
    </row>
    <row r="318">
      <c r="A318" s="40" t="n"/>
      <c r="B318" s="41" t="n"/>
      <c r="C318" s="42" t="n"/>
      <c r="D318" s="29">
        <f>IF($B318="","",IFERROR(INDEX(機種マスタ!$A$4:$A$203,MATCH($B318,機種マスタ!$B$4:$B$203,0)),"未登録"))</f>
        <v/>
      </c>
      <c r="E318" s="29">
        <f>IF($B318="","",IFERROR(INDEX(機種マスタ!$C$4:$C$203,MATCH($B318,機種マスタ!$B$4:$B$203,0)),"-"))</f>
        <v/>
      </c>
      <c r="F318" s="29">
        <f>IF($B318="","",IFERROR(N(INDEX(機種マスタ!$D$4:$D$203,MATCH($B318,機種マスタ!$B$4:$B$203,0))),0))</f>
        <v/>
      </c>
      <c r="G318" s="29">
        <f>IF($B318="","",IF($C318="",1,$C318))</f>
        <v/>
      </c>
      <c r="H318" s="29">
        <f>IF($B318="","",F318*G318)</f>
        <v/>
      </c>
    </row>
    <row r="319">
      <c r="A319" s="40" t="n"/>
      <c r="B319" s="41" t="n"/>
      <c r="C319" s="42" t="n"/>
      <c r="D319" s="29">
        <f>IF($B319="","",IFERROR(INDEX(機種マスタ!$A$4:$A$203,MATCH($B319,機種マスタ!$B$4:$B$203,0)),"未登録"))</f>
        <v/>
      </c>
      <c r="E319" s="29">
        <f>IF($B319="","",IFERROR(INDEX(機種マスタ!$C$4:$C$203,MATCH($B319,機種マスタ!$B$4:$B$203,0)),"-"))</f>
        <v/>
      </c>
      <c r="F319" s="29">
        <f>IF($B319="","",IFERROR(N(INDEX(機種マスタ!$D$4:$D$203,MATCH($B319,機種マスタ!$B$4:$B$203,0))),0))</f>
        <v/>
      </c>
      <c r="G319" s="29">
        <f>IF($B319="","",IF($C319="",1,$C319))</f>
        <v/>
      </c>
      <c r="H319" s="29">
        <f>IF($B319="","",F319*G319)</f>
        <v/>
      </c>
    </row>
    <row r="320">
      <c r="A320" s="40" t="n"/>
      <c r="B320" s="41" t="n"/>
      <c r="C320" s="42" t="n"/>
      <c r="D320" s="29">
        <f>IF($B320="","",IFERROR(INDEX(機種マスタ!$A$4:$A$203,MATCH($B320,機種マスタ!$B$4:$B$203,0)),"未登録"))</f>
        <v/>
      </c>
      <c r="E320" s="29">
        <f>IF($B320="","",IFERROR(INDEX(機種マスタ!$C$4:$C$203,MATCH($B320,機種マスタ!$B$4:$B$203,0)),"-"))</f>
        <v/>
      </c>
      <c r="F320" s="29">
        <f>IF($B320="","",IFERROR(N(INDEX(機種マスタ!$D$4:$D$203,MATCH($B320,機種マスタ!$B$4:$B$203,0))),0))</f>
        <v/>
      </c>
      <c r="G320" s="29">
        <f>IF($B320="","",IF($C320="",1,$C320))</f>
        <v/>
      </c>
      <c r="H320" s="29">
        <f>IF($B320="","",F320*G320)</f>
        <v/>
      </c>
    </row>
    <row r="321">
      <c r="A321" s="40" t="n"/>
      <c r="B321" s="41" t="n"/>
      <c r="C321" s="42" t="n"/>
      <c r="D321" s="29">
        <f>IF($B321="","",IFERROR(INDEX(機種マスタ!$A$4:$A$203,MATCH($B321,機種マスタ!$B$4:$B$203,0)),"未登録"))</f>
        <v/>
      </c>
      <c r="E321" s="29">
        <f>IF($B321="","",IFERROR(INDEX(機種マスタ!$C$4:$C$203,MATCH($B321,機種マスタ!$B$4:$B$203,0)),"-"))</f>
        <v/>
      </c>
      <c r="F321" s="29">
        <f>IF($B321="","",IFERROR(N(INDEX(機種マスタ!$D$4:$D$203,MATCH($B321,機種マスタ!$B$4:$B$203,0))),0))</f>
        <v/>
      </c>
      <c r="G321" s="29">
        <f>IF($B321="","",IF($C321="",1,$C321))</f>
        <v/>
      </c>
      <c r="H321" s="29">
        <f>IF($B321="","",F321*G321)</f>
        <v/>
      </c>
    </row>
    <row r="322">
      <c r="A322" s="40" t="n"/>
      <c r="B322" s="41" t="n"/>
      <c r="C322" s="42" t="n"/>
      <c r="D322" s="29">
        <f>IF($B322="","",IFERROR(INDEX(機種マスタ!$A$4:$A$203,MATCH($B322,機種マスタ!$B$4:$B$203,0)),"未登録"))</f>
        <v/>
      </c>
      <c r="E322" s="29">
        <f>IF($B322="","",IFERROR(INDEX(機種マスタ!$C$4:$C$203,MATCH($B322,機種マスタ!$B$4:$B$203,0)),"-"))</f>
        <v/>
      </c>
      <c r="F322" s="29">
        <f>IF($B322="","",IFERROR(N(INDEX(機種マスタ!$D$4:$D$203,MATCH($B322,機種マスタ!$B$4:$B$203,0))),0))</f>
        <v/>
      </c>
      <c r="G322" s="29">
        <f>IF($B322="","",IF($C322="",1,$C322))</f>
        <v/>
      </c>
      <c r="H322" s="29">
        <f>IF($B322="","",F322*G322)</f>
        <v/>
      </c>
    </row>
    <row r="323">
      <c r="A323" s="40" t="n"/>
      <c r="B323" s="41" t="n"/>
      <c r="C323" s="42" t="n"/>
      <c r="D323" s="29">
        <f>IF($B323="","",IFERROR(INDEX(機種マスタ!$A$4:$A$203,MATCH($B323,機種マスタ!$B$4:$B$203,0)),"未登録"))</f>
        <v/>
      </c>
      <c r="E323" s="29">
        <f>IF($B323="","",IFERROR(INDEX(機種マスタ!$C$4:$C$203,MATCH($B323,機種マスタ!$B$4:$B$203,0)),"-"))</f>
        <v/>
      </c>
      <c r="F323" s="29">
        <f>IF($B323="","",IFERROR(N(INDEX(機種マスタ!$D$4:$D$203,MATCH($B323,機種マスタ!$B$4:$B$203,0))),0))</f>
        <v/>
      </c>
      <c r="G323" s="29">
        <f>IF($B323="","",IF($C323="",1,$C323))</f>
        <v/>
      </c>
      <c r="H323" s="29">
        <f>IF($B323="","",F323*G323)</f>
        <v/>
      </c>
    </row>
    <row r="324">
      <c r="A324" s="40" t="n"/>
      <c r="B324" s="41" t="n"/>
      <c r="C324" s="42" t="n"/>
      <c r="D324" s="29">
        <f>IF($B324="","",IFERROR(INDEX(機種マスタ!$A$4:$A$203,MATCH($B324,機種マスタ!$B$4:$B$203,0)),"未登録"))</f>
        <v/>
      </c>
      <c r="E324" s="29">
        <f>IF($B324="","",IFERROR(INDEX(機種マスタ!$C$4:$C$203,MATCH($B324,機種マスタ!$B$4:$B$203,0)),"-"))</f>
        <v/>
      </c>
      <c r="F324" s="29">
        <f>IF($B324="","",IFERROR(N(INDEX(機種マスタ!$D$4:$D$203,MATCH($B324,機種マスタ!$B$4:$B$203,0))),0))</f>
        <v/>
      </c>
      <c r="G324" s="29">
        <f>IF($B324="","",IF($C324="",1,$C324))</f>
        <v/>
      </c>
      <c r="H324" s="29">
        <f>IF($B324="","",F324*G324)</f>
        <v/>
      </c>
    </row>
    <row r="325">
      <c r="A325" s="40" t="n"/>
      <c r="B325" s="41" t="n"/>
      <c r="C325" s="42" t="n"/>
      <c r="D325" s="29">
        <f>IF($B325="","",IFERROR(INDEX(機種マスタ!$A$4:$A$203,MATCH($B325,機種マスタ!$B$4:$B$203,0)),"未登録"))</f>
        <v/>
      </c>
      <c r="E325" s="29">
        <f>IF($B325="","",IFERROR(INDEX(機種マスタ!$C$4:$C$203,MATCH($B325,機種マスタ!$B$4:$B$203,0)),"-"))</f>
        <v/>
      </c>
      <c r="F325" s="29">
        <f>IF($B325="","",IFERROR(N(INDEX(機種マスタ!$D$4:$D$203,MATCH($B325,機種マスタ!$B$4:$B$203,0))),0))</f>
        <v/>
      </c>
      <c r="G325" s="29">
        <f>IF($B325="","",IF($C325="",1,$C325))</f>
        <v/>
      </c>
      <c r="H325" s="29">
        <f>IF($B325="","",F325*G325)</f>
        <v/>
      </c>
    </row>
    <row r="326">
      <c r="A326" s="40" t="n"/>
      <c r="B326" s="41" t="n"/>
      <c r="C326" s="42" t="n"/>
      <c r="D326" s="29">
        <f>IF($B326="","",IFERROR(INDEX(機種マスタ!$A$4:$A$203,MATCH($B326,機種マスタ!$B$4:$B$203,0)),"未登録"))</f>
        <v/>
      </c>
      <c r="E326" s="29">
        <f>IF($B326="","",IFERROR(INDEX(機種マスタ!$C$4:$C$203,MATCH($B326,機種マスタ!$B$4:$B$203,0)),"-"))</f>
        <v/>
      </c>
      <c r="F326" s="29">
        <f>IF($B326="","",IFERROR(N(INDEX(機種マスタ!$D$4:$D$203,MATCH($B326,機種マスタ!$B$4:$B$203,0))),0))</f>
        <v/>
      </c>
      <c r="G326" s="29">
        <f>IF($B326="","",IF($C326="",1,$C326))</f>
        <v/>
      </c>
      <c r="H326" s="29">
        <f>IF($B326="","",F326*G326)</f>
        <v/>
      </c>
    </row>
    <row r="327">
      <c r="A327" s="40" t="n"/>
      <c r="B327" s="41" t="n"/>
      <c r="C327" s="42" t="n"/>
      <c r="D327" s="29">
        <f>IF($B327="","",IFERROR(INDEX(機種マスタ!$A$4:$A$203,MATCH($B327,機種マスタ!$B$4:$B$203,0)),"未登録"))</f>
        <v/>
      </c>
      <c r="E327" s="29">
        <f>IF($B327="","",IFERROR(INDEX(機種マスタ!$C$4:$C$203,MATCH($B327,機種マスタ!$B$4:$B$203,0)),"-"))</f>
        <v/>
      </c>
      <c r="F327" s="29">
        <f>IF($B327="","",IFERROR(N(INDEX(機種マスタ!$D$4:$D$203,MATCH($B327,機種マスタ!$B$4:$B$203,0))),0))</f>
        <v/>
      </c>
      <c r="G327" s="29">
        <f>IF($B327="","",IF($C327="",1,$C327))</f>
        <v/>
      </c>
      <c r="H327" s="29">
        <f>IF($B327="","",F327*G327)</f>
        <v/>
      </c>
    </row>
    <row r="328">
      <c r="A328" s="40" t="n"/>
      <c r="B328" s="41" t="n"/>
      <c r="C328" s="42" t="n"/>
      <c r="D328" s="29">
        <f>IF($B328="","",IFERROR(INDEX(機種マスタ!$A$4:$A$203,MATCH($B328,機種マスタ!$B$4:$B$203,0)),"未登録"))</f>
        <v/>
      </c>
      <c r="E328" s="29">
        <f>IF($B328="","",IFERROR(INDEX(機種マスタ!$C$4:$C$203,MATCH($B328,機種マスタ!$B$4:$B$203,0)),"-"))</f>
        <v/>
      </c>
      <c r="F328" s="29">
        <f>IF($B328="","",IFERROR(N(INDEX(機種マスタ!$D$4:$D$203,MATCH($B328,機種マスタ!$B$4:$B$203,0))),0))</f>
        <v/>
      </c>
      <c r="G328" s="29">
        <f>IF($B328="","",IF($C328="",1,$C328))</f>
        <v/>
      </c>
      <c r="H328" s="29">
        <f>IF($B328="","",F328*G328)</f>
        <v/>
      </c>
    </row>
    <row r="329">
      <c r="A329" s="40" t="n"/>
      <c r="B329" s="41" t="n"/>
      <c r="C329" s="42" t="n"/>
      <c r="D329" s="29">
        <f>IF($B329="","",IFERROR(INDEX(機種マスタ!$A$4:$A$203,MATCH($B329,機種マスタ!$B$4:$B$203,0)),"未登録"))</f>
        <v/>
      </c>
      <c r="E329" s="29">
        <f>IF($B329="","",IFERROR(INDEX(機種マスタ!$C$4:$C$203,MATCH($B329,機種マスタ!$B$4:$B$203,0)),"-"))</f>
        <v/>
      </c>
      <c r="F329" s="29">
        <f>IF($B329="","",IFERROR(N(INDEX(機種マスタ!$D$4:$D$203,MATCH($B329,機種マスタ!$B$4:$B$203,0))),0))</f>
        <v/>
      </c>
      <c r="G329" s="29">
        <f>IF($B329="","",IF($C329="",1,$C329))</f>
        <v/>
      </c>
      <c r="H329" s="29">
        <f>IF($B329="","",F329*G329)</f>
        <v/>
      </c>
    </row>
    <row r="330">
      <c r="A330" s="40" t="n"/>
      <c r="B330" s="41" t="n"/>
      <c r="C330" s="42" t="n"/>
      <c r="D330" s="29">
        <f>IF($B330="","",IFERROR(INDEX(機種マスタ!$A$4:$A$203,MATCH($B330,機種マスタ!$B$4:$B$203,0)),"未登録"))</f>
        <v/>
      </c>
      <c r="E330" s="29">
        <f>IF($B330="","",IFERROR(INDEX(機種マスタ!$C$4:$C$203,MATCH($B330,機種マスタ!$B$4:$B$203,0)),"-"))</f>
        <v/>
      </c>
      <c r="F330" s="29">
        <f>IF($B330="","",IFERROR(N(INDEX(機種マスタ!$D$4:$D$203,MATCH($B330,機種マスタ!$B$4:$B$203,0))),0))</f>
        <v/>
      </c>
      <c r="G330" s="29">
        <f>IF($B330="","",IF($C330="",1,$C330))</f>
        <v/>
      </c>
      <c r="H330" s="29">
        <f>IF($B330="","",F330*G330)</f>
        <v/>
      </c>
    </row>
    <row r="331">
      <c r="A331" s="40" t="n"/>
      <c r="B331" s="41" t="n"/>
      <c r="C331" s="42" t="n"/>
      <c r="D331" s="29">
        <f>IF($B331="","",IFERROR(INDEX(機種マスタ!$A$4:$A$203,MATCH($B331,機種マスタ!$B$4:$B$203,0)),"未登録"))</f>
        <v/>
      </c>
      <c r="E331" s="29">
        <f>IF($B331="","",IFERROR(INDEX(機種マスタ!$C$4:$C$203,MATCH($B331,機種マスタ!$B$4:$B$203,0)),"-"))</f>
        <v/>
      </c>
      <c r="F331" s="29">
        <f>IF($B331="","",IFERROR(N(INDEX(機種マスタ!$D$4:$D$203,MATCH($B331,機種マスタ!$B$4:$B$203,0))),0))</f>
        <v/>
      </c>
      <c r="G331" s="29">
        <f>IF($B331="","",IF($C331="",1,$C331))</f>
        <v/>
      </c>
      <c r="H331" s="29">
        <f>IF($B331="","",F331*G331)</f>
        <v/>
      </c>
    </row>
    <row r="332">
      <c r="A332" s="40" t="n"/>
      <c r="B332" s="41" t="n"/>
      <c r="C332" s="42" t="n"/>
      <c r="D332" s="29">
        <f>IF($B332="","",IFERROR(INDEX(機種マスタ!$A$4:$A$203,MATCH($B332,機種マスタ!$B$4:$B$203,0)),"未登録"))</f>
        <v/>
      </c>
      <c r="E332" s="29">
        <f>IF($B332="","",IFERROR(INDEX(機種マスタ!$C$4:$C$203,MATCH($B332,機種マスタ!$B$4:$B$203,0)),"-"))</f>
        <v/>
      </c>
      <c r="F332" s="29">
        <f>IF($B332="","",IFERROR(N(INDEX(機種マスタ!$D$4:$D$203,MATCH($B332,機種マスタ!$B$4:$B$203,0))),0))</f>
        <v/>
      </c>
      <c r="G332" s="29">
        <f>IF($B332="","",IF($C332="",1,$C332))</f>
        <v/>
      </c>
      <c r="H332" s="29">
        <f>IF($B332="","",F332*G332)</f>
        <v/>
      </c>
    </row>
    <row r="333">
      <c r="A333" s="40" t="n"/>
      <c r="B333" s="41" t="n"/>
      <c r="C333" s="42" t="n"/>
      <c r="D333" s="29">
        <f>IF($B333="","",IFERROR(INDEX(機種マスタ!$A$4:$A$203,MATCH($B333,機種マスタ!$B$4:$B$203,0)),"未登録"))</f>
        <v/>
      </c>
      <c r="E333" s="29">
        <f>IF($B333="","",IFERROR(INDEX(機種マスタ!$C$4:$C$203,MATCH($B333,機種マスタ!$B$4:$B$203,0)),"-"))</f>
        <v/>
      </c>
      <c r="F333" s="29">
        <f>IF($B333="","",IFERROR(N(INDEX(機種マスタ!$D$4:$D$203,MATCH($B333,機種マスタ!$B$4:$B$203,0))),0))</f>
        <v/>
      </c>
      <c r="G333" s="29">
        <f>IF($B333="","",IF($C333="",1,$C333))</f>
        <v/>
      </c>
      <c r="H333" s="29">
        <f>IF($B333="","",F333*G333)</f>
        <v/>
      </c>
    </row>
    <row r="334">
      <c r="A334" s="40" t="n"/>
      <c r="B334" s="41" t="n"/>
      <c r="C334" s="42" t="n"/>
      <c r="D334" s="29">
        <f>IF($B334="","",IFERROR(INDEX(機種マスタ!$A$4:$A$203,MATCH($B334,機種マスタ!$B$4:$B$203,0)),"未登録"))</f>
        <v/>
      </c>
      <c r="E334" s="29">
        <f>IF($B334="","",IFERROR(INDEX(機種マスタ!$C$4:$C$203,MATCH($B334,機種マスタ!$B$4:$B$203,0)),"-"))</f>
        <v/>
      </c>
      <c r="F334" s="29">
        <f>IF($B334="","",IFERROR(N(INDEX(機種マスタ!$D$4:$D$203,MATCH($B334,機種マスタ!$B$4:$B$203,0))),0))</f>
        <v/>
      </c>
      <c r="G334" s="29">
        <f>IF($B334="","",IF($C334="",1,$C334))</f>
        <v/>
      </c>
      <c r="H334" s="29">
        <f>IF($B334="","",F334*G334)</f>
        <v/>
      </c>
    </row>
    <row r="335">
      <c r="A335" s="40" t="n"/>
      <c r="B335" s="41" t="n"/>
      <c r="C335" s="42" t="n"/>
      <c r="D335" s="29">
        <f>IF($B335="","",IFERROR(INDEX(機種マスタ!$A$4:$A$203,MATCH($B335,機種マスタ!$B$4:$B$203,0)),"未登録"))</f>
        <v/>
      </c>
      <c r="E335" s="29">
        <f>IF($B335="","",IFERROR(INDEX(機種マスタ!$C$4:$C$203,MATCH($B335,機種マスタ!$B$4:$B$203,0)),"-"))</f>
        <v/>
      </c>
      <c r="F335" s="29">
        <f>IF($B335="","",IFERROR(N(INDEX(機種マスタ!$D$4:$D$203,MATCH($B335,機種マスタ!$B$4:$B$203,0))),0))</f>
        <v/>
      </c>
      <c r="G335" s="29">
        <f>IF($B335="","",IF($C335="",1,$C335))</f>
        <v/>
      </c>
      <c r="H335" s="29">
        <f>IF($B335="","",F335*G335)</f>
        <v/>
      </c>
    </row>
    <row r="336">
      <c r="A336" s="40" t="n"/>
      <c r="B336" s="41" t="n"/>
      <c r="C336" s="42" t="n"/>
      <c r="D336" s="29">
        <f>IF($B336="","",IFERROR(INDEX(機種マスタ!$A$4:$A$203,MATCH($B336,機種マスタ!$B$4:$B$203,0)),"未登録"))</f>
        <v/>
      </c>
      <c r="E336" s="29">
        <f>IF($B336="","",IFERROR(INDEX(機種マスタ!$C$4:$C$203,MATCH($B336,機種マスタ!$B$4:$B$203,0)),"-"))</f>
        <v/>
      </c>
      <c r="F336" s="29">
        <f>IF($B336="","",IFERROR(N(INDEX(機種マスタ!$D$4:$D$203,MATCH($B336,機種マスタ!$B$4:$B$203,0))),0))</f>
        <v/>
      </c>
      <c r="G336" s="29">
        <f>IF($B336="","",IF($C336="",1,$C336))</f>
        <v/>
      </c>
      <c r="H336" s="29">
        <f>IF($B336="","",F336*G336)</f>
        <v/>
      </c>
    </row>
    <row r="337">
      <c r="A337" s="40" t="n"/>
      <c r="B337" s="41" t="n"/>
      <c r="C337" s="42" t="n"/>
      <c r="D337" s="29">
        <f>IF($B337="","",IFERROR(INDEX(機種マスタ!$A$4:$A$203,MATCH($B337,機種マスタ!$B$4:$B$203,0)),"未登録"))</f>
        <v/>
      </c>
      <c r="E337" s="29">
        <f>IF($B337="","",IFERROR(INDEX(機種マスタ!$C$4:$C$203,MATCH($B337,機種マスタ!$B$4:$B$203,0)),"-"))</f>
        <v/>
      </c>
      <c r="F337" s="29">
        <f>IF($B337="","",IFERROR(N(INDEX(機種マスタ!$D$4:$D$203,MATCH($B337,機種マスタ!$B$4:$B$203,0))),0))</f>
        <v/>
      </c>
      <c r="G337" s="29">
        <f>IF($B337="","",IF($C337="",1,$C337))</f>
        <v/>
      </c>
      <c r="H337" s="29">
        <f>IF($B337="","",F337*G337)</f>
        <v/>
      </c>
    </row>
    <row r="338">
      <c r="A338" s="40" t="n"/>
      <c r="B338" s="41" t="n"/>
      <c r="C338" s="42" t="n"/>
      <c r="D338" s="29">
        <f>IF($B338="","",IFERROR(INDEX(機種マスタ!$A$4:$A$203,MATCH($B338,機種マスタ!$B$4:$B$203,0)),"未登録"))</f>
        <v/>
      </c>
      <c r="E338" s="29">
        <f>IF($B338="","",IFERROR(INDEX(機種マスタ!$C$4:$C$203,MATCH($B338,機種マスタ!$B$4:$B$203,0)),"-"))</f>
        <v/>
      </c>
      <c r="F338" s="29">
        <f>IF($B338="","",IFERROR(N(INDEX(機種マスタ!$D$4:$D$203,MATCH($B338,機種マスタ!$B$4:$B$203,0))),0))</f>
        <v/>
      </c>
      <c r="G338" s="29">
        <f>IF($B338="","",IF($C338="",1,$C338))</f>
        <v/>
      </c>
      <c r="H338" s="29">
        <f>IF($B338="","",F338*G338)</f>
        <v/>
      </c>
    </row>
    <row r="339">
      <c r="A339" s="40" t="n"/>
      <c r="B339" s="41" t="n"/>
      <c r="C339" s="42" t="n"/>
      <c r="D339" s="29">
        <f>IF($B339="","",IFERROR(INDEX(機種マスタ!$A$4:$A$203,MATCH($B339,機種マスタ!$B$4:$B$203,0)),"未登録"))</f>
        <v/>
      </c>
      <c r="E339" s="29">
        <f>IF($B339="","",IFERROR(INDEX(機種マスタ!$C$4:$C$203,MATCH($B339,機種マスタ!$B$4:$B$203,0)),"-"))</f>
        <v/>
      </c>
      <c r="F339" s="29">
        <f>IF($B339="","",IFERROR(N(INDEX(機種マスタ!$D$4:$D$203,MATCH($B339,機種マスタ!$B$4:$B$203,0))),0))</f>
        <v/>
      </c>
      <c r="G339" s="29">
        <f>IF($B339="","",IF($C339="",1,$C339))</f>
        <v/>
      </c>
      <c r="H339" s="29">
        <f>IF($B339="","",F339*G339)</f>
        <v/>
      </c>
    </row>
    <row r="340">
      <c r="A340" s="40" t="n"/>
      <c r="B340" s="41" t="n"/>
      <c r="C340" s="42" t="n"/>
      <c r="D340" s="29">
        <f>IF($B340="","",IFERROR(INDEX(機種マスタ!$A$4:$A$203,MATCH($B340,機種マスタ!$B$4:$B$203,0)),"未登録"))</f>
        <v/>
      </c>
      <c r="E340" s="29">
        <f>IF($B340="","",IFERROR(INDEX(機種マスタ!$C$4:$C$203,MATCH($B340,機種マスタ!$B$4:$B$203,0)),"-"))</f>
        <v/>
      </c>
      <c r="F340" s="29">
        <f>IF($B340="","",IFERROR(N(INDEX(機種マスタ!$D$4:$D$203,MATCH($B340,機種マスタ!$B$4:$B$203,0))),0))</f>
        <v/>
      </c>
      <c r="G340" s="29">
        <f>IF($B340="","",IF($C340="",1,$C340))</f>
        <v/>
      </c>
      <c r="H340" s="29">
        <f>IF($B340="","",F340*G340)</f>
        <v/>
      </c>
    </row>
    <row r="341">
      <c r="A341" s="40" t="n"/>
      <c r="B341" s="41" t="n"/>
      <c r="C341" s="42" t="n"/>
      <c r="D341" s="29">
        <f>IF($B341="","",IFERROR(INDEX(機種マスタ!$A$4:$A$203,MATCH($B341,機種マスタ!$B$4:$B$203,0)),"未登録"))</f>
        <v/>
      </c>
      <c r="E341" s="29">
        <f>IF($B341="","",IFERROR(INDEX(機種マスタ!$C$4:$C$203,MATCH($B341,機種マスタ!$B$4:$B$203,0)),"-"))</f>
        <v/>
      </c>
      <c r="F341" s="29">
        <f>IF($B341="","",IFERROR(N(INDEX(機種マスタ!$D$4:$D$203,MATCH($B341,機種マスタ!$B$4:$B$203,0))),0))</f>
        <v/>
      </c>
      <c r="G341" s="29">
        <f>IF($B341="","",IF($C341="",1,$C341))</f>
        <v/>
      </c>
      <c r="H341" s="29">
        <f>IF($B341="","",F341*G341)</f>
        <v/>
      </c>
    </row>
    <row r="342">
      <c r="A342" s="40" t="n"/>
      <c r="B342" s="41" t="n"/>
      <c r="C342" s="42" t="n"/>
      <c r="D342" s="29">
        <f>IF($B342="","",IFERROR(INDEX(機種マスタ!$A$4:$A$203,MATCH($B342,機種マスタ!$B$4:$B$203,0)),"未登録"))</f>
        <v/>
      </c>
      <c r="E342" s="29">
        <f>IF($B342="","",IFERROR(INDEX(機種マスタ!$C$4:$C$203,MATCH($B342,機種マスタ!$B$4:$B$203,0)),"-"))</f>
        <v/>
      </c>
      <c r="F342" s="29">
        <f>IF($B342="","",IFERROR(N(INDEX(機種マスタ!$D$4:$D$203,MATCH($B342,機種マスタ!$B$4:$B$203,0))),0))</f>
        <v/>
      </c>
      <c r="G342" s="29">
        <f>IF($B342="","",IF($C342="",1,$C342))</f>
        <v/>
      </c>
      <c r="H342" s="29">
        <f>IF($B342="","",F342*G342)</f>
        <v/>
      </c>
    </row>
    <row r="343">
      <c r="A343" s="40" t="n"/>
      <c r="B343" s="41" t="n"/>
      <c r="C343" s="42" t="n"/>
      <c r="D343" s="29">
        <f>IF($B343="","",IFERROR(INDEX(機種マスタ!$A$4:$A$203,MATCH($B343,機種マスタ!$B$4:$B$203,0)),"未登録"))</f>
        <v/>
      </c>
      <c r="E343" s="29">
        <f>IF($B343="","",IFERROR(INDEX(機種マスタ!$C$4:$C$203,MATCH($B343,機種マスタ!$B$4:$B$203,0)),"-"))</f>
        <v/>
      </c>
      <c r="F343" s="29">
        <f>IF($B343="","",IFERROR(N(INDEX(機種マスタ!$D$4:$D$203,MATCH($B343,機種マスタ!$B$4:$B$203,0))),0))</f>
        <v/>
      </c>
      <c r="G343" s="29">
        <f>IF($B343="","",IF($C343="",1,$C343))</f>
        <v/>
      </c>
      <c r="H343" s="29">
        <f>IF($B343="","",F343*G343)</f>
        <v/>
      </c>
    </row>
    <row r="344">
      <c r="A344" s="40" t="n"/>
      <c r="B344" s="41" t="n"/>
      <c r="C344" s="42" t="n"/>
      <c r="D344" s="29">
        <f>IF($B344="","",IFERROR(INDEX(機種マスタ!$A$4:$A$203,MATCH($B344,機種マスタ!$B$4:$B$203,0)),"未登録"))</f>
        <v/>
      </c>
      <c r="E344" s="29">
        <f>IF($B344="","",IFERROR(INDEX(機種マスタ!$C$4:$C$203,MATCH($B344,機種マスタ!$B$4:$B$203,0)),"-"))</f>
        <v/>
      </c>
      <c r="F344" s="29">
        <f>IF($B344="","",IFERROR(N(INDEX(機種マスタ!$D$4:$D$203,MATCH($B344,機種マスタ!$B$4:$B$203,0))),0))</f>
        <v/>
      </c>
      <c r="G344" s="29">
        <f>IF($B344="","",IF($C344="",1,$C344))</f>
        <v/>
      </c>
      <c r="H344" s="29">
        <f>IF($B344="","",F344*G344)</f>
        <v/>
      </c>
    </row>
    <row r="345">
      <c r="A345" s="40" t="n"/>
      <c r="B345" s="41" t="n"/>
      <c r="C345" s="42" t="n"/>
      <c r="D345" s="29">
        <f>IF($B345="","",IFERROR(INDEX(機種マスタ!$A$4:$A$203,MATCH($B345,機種マスタ!$B$4:$B$203,0)),"未登録"))</f>
        <v/>
      </c>
      <c r="E345" s="29">
        <f>IF($B345="","",IFERROR(INDEX(機種マスタ!$C$4:$C$203,MATCH($B345,機種マスタ!$B$4:$B$203,0)),"-"))</f>
        <v/>
      </c>
      <c r="F345" s="29">
        <f>IF($B345="","",IFERROR(N(INDEX(機種マスタ!$D$4:$D$203,MATCH($B345,機種マスタ!$B$4:$B$203,0))),0))</f>
        <v/>
      </c>
      <c r="G345" s="29">
        <f>IF($B345="","",IF($C345="",1,$C345))</f>
        <v/>
      </c>
      <c r="H345" s="29">
        <f>IF($B345="","",F345*G345)</f>
        <v/>
      </c>
    </row>
    <row r="346">
      <c r="A346" s="40" t="n"/>
      <c r="B346" s="41" t="n"/>
      <c r="C346" s="42" t="n"/>
      <c r="D346" s="29">
        <f>IF($B346="","",IFERROR(INDEX(機種マスタ!$A$4:$A$203,MATCH($B346,機種マスタ!$B$4:$B$203,0)),"未登録"))</f>
        <v/>
      </c>
      <c r="E346" s="29">
        <f>IF($B346="","",IFERROR(INDEX(機種マスタ!$C$4:$C$203,MATCH($B346,機種マスタ!$B$4:$B$203,0)),"-"))</f>
        <v/>
      </c>
      <c r="F346" s="29">
        <f>IF($B346="","",IFERROR(N(INDEX(機種マスタ!$D$4:$D$203,MATCH($B346,機種マスタ!$B$4:$B$203,0))),0))</f>
        <v/>
      </c>
      <c r="G346" s="29">
        <f>IF($B346="","",IF($C346="",1,$C346))</f>
        <v/>
      </c>
      <c r="H346" s="29">
        <f>IF($B346="","",F346*G346)</f>
        <v/>
      </c>
    </row>
    <row r="347">
      <c r="A347" s="40" t="n"/>
      <c r="B347" s="41" t="n"/>
      <c r="C347" s="42" t="n"/>
      <c r="D347" s="29">
        <f>IF($B347="","",IFERROR(INDEX(機種マスタ!$A$4:$A$203,MATCH($B347,機種マスタ!$B$4:$B$203,0)),"未登録"))</f>
        <v/>
      </c>
      <c r="E347" s="29">
        <f>IF($B347="","",IFERROR(INDEX(機種マスタ!$C$4:$C$203,MATCH($B347,機種マスタ!$B$4:$B$203,0)),"-"))</f>
        <v/>
      </c>
      <c r="F347" s="29">
        <f>IF($B347="","",IFERROR(N(INDEX(機種マスタ!$D$4:$D$203,MATCH($B347,機種マスタ!$B$4:$B$203,0))),0))</f>
        <v/>
      </c>
      <c r="G347" s="29">
        <f>IF($B347="","",IF($C347="",1,$C347))</f>
        <v/>
      </c>
      <c r="H347" s="29">
        <f>IF($B347="","",F347*G347)</f>
        <v/>
      </c>
    </row>
    <row r="348">
      <c r="A348" s="40" t="n"/>
      <c r="B348" s="41" t="n"/>
      <c r="C348" s="42" t="n"/>
      <c r="D348" s="29">
        <f>IF($B348="","",IFERROR(INDEX(機種マスタ!$A$4:$A$203,MATCH($B348,機種マスタ!$B$4:$B$203,0)),"未登録"))</f>
        <v/>
      </c>
      <c r="E348" s="29">
        <f>IF($B348="","",IFERROR(INDEX(機種マスタ!$C$4:$C$203,MATCH($B348,機種マスタ!$B$4:$B$203,0)),"-"))</f>
        <v/>
      </c>
      <c r="F348" s="29">
        <f>IF($B348="","",IFERROR(N(INDEX(機種マスタ!$D$4:$D$203,MATCH($B348,機種マスタ!$B$4:$B$203,0))),0))</f>
        <v/>
      </c>
      <c r="G348" s="29">
        <f>IF($B348="","",IF($C348="",1,$C348))</f>
        <v/>
      </c>
      <c r="H348" s="29">
        <f>IF($B348="","",F348*G348)</f>
        <v/>
      </c>
    </row>
    <row r="349">
      <c r="A349" s="40" t="n"/>
      <c r="B349" s="41" t="n"/>
      <c r="C349" s="42" t="n"/>
      <c r="D349" s="29">
        <f>IF($B349="","",IFERROR(INDEX(機種マスタ!$A$4:$A$203,MATCH($B349,機種マスタ!$B$4:$B$203,0)),"未登録"))</f>
        <v/>
      </c>
      <c r="E349" s="29">
        <f>IF($B349="","",IFERROR(INDEX(機種マスタ!$C$4:$C$203,MATCH($B349,機種マスタ!$B$4:$B$203,0)),"-"))</f>
        <v/>
      </c>
      <c r="F349" s="29">
        <f>IF($B349="","",IFERROR(N(INDEX(機種マスタ!$D$4:$D$203,MATCH($B349,機種マスタ!$B$4:$B$203,0))),0))</f>
        <v/>
      </c>
      <c r="G349" s="29">
        <f>IF($B349="","",IF($C349="",1,$C349))</f>
        <v/>
      </c>
      <c r="H349" s="29">
        <f>IF($B349="","",F349*G349)</f>
        <v/>
      </c>
    </row>
    <row r="350">
      <c r="A350" s="40" t="n"/>
      <c r="B350" s="41" t="n"/>
      <c r="C350" s="42" t="n"/>
      <c r="D350" s="29">
        <f>IF($B350="","",IFERROR(INDEX(機種マスタ!$A$4:$A$203,MATCH($B350,機種マスタ!$B$4:$B$203,0)),"未登録"))</f>
        <v/>
      </c>
      <c r="E350" s="29">
        <f>IF($B350="","",IFERROR(INDEX(機種マスタ!$C$4:$C$203,MATCH($B350,機種マスタ!$B$4:$B$203,0)),"-"))</f>
        <v/>
      </c>
      <c r="F350" s="29">
        <f>IF($B350="","",IFERROR(N(INDEX(機種マスタ!$D$4:$D$203,MATCH($B350,機種マスタ!$B$4:$B$203,0))),0))</f>
        <v/>
      </c>
      <c r="G350" s="29">
        <f>IF($B350="","",IF($C350="",1,$C350))</f>
        <v/>
      </c>
      <c r="H350" s="29">
        <f>IF($B350="","",F350*G350)</f>
        <v/>
      </c>
    </row>
    <row r="351">
      <c r="A351" s="40" t="n"/>
      <c r="B351" s="41" t="n"/>
      <c r="C351" s="42" t="n"/>
      <c r="D351" s="29">
        <f>IF($B351="","",IFERROR(INDEX(機種マスタ!$A$4:$A$203,MATCH($B351,機種マスタ!$B$4:$B$203,0)),"未登録"))</f>
        <v/>
      </c>
      <c r="E351" s="29">
        <f>IF($B351="","",IFERROR(INDEX(機種マスタ!$C$4:$C$203,MATCH($B351,機種マスタ!$B$4:$B$203,0)),"-"))</f>
        <v/>
      </c>
      <c r="F351" s="29">
        <f>IF($B351="","",IFERROR(N(INDEX(機種マスタ!$D$4:$D$203,MATCH($B351,機種マスタ!$B$4:$B$203,0))),0))</f>
        <v/>
      </c>
      <c r="G351" s="29">
        <f>IF($B351="","",IF($C351="",1,$C351))</f>
        <v/>
      </c>
      <c r="H351" s="29">
        <f>IF($B351="","",F351*G351)</f>
        <v/>
      </c>
    </row>
    <row r="352">
      <c r="A352" s="40" t="n"/>
      <c r="B352" s="41" t="n"/>
      <c r="C352" s="42" t="n"/>
      <c r="D352" s="29">
        <f>IF($B352="","",IFERROR(INDEX(機種マスタ!$A$4:$A$203,MATCH($B352,機種マスタ!$B$4:$B$203,0)),"未登録"))</f>
        <v/>
      </c>
      <c r="E352" s="29">
        <f>IF($B352="","",IFERROR(INDEX(機種マスタ!$C$4:$C$203,MATCH($B352,機種マスタ!$B$4:$B$203,0)),"-"))</f>
        <v/>
      </c>
      <c r="F352" s="29">
        <f>IF($B352="","",IFERROR(N(INDEX(機種マスタ!$D$4:$D$203,MATCH($B352,機種マスタ!$B$4:$B$203,0))),0))</f>
        <v/>
      </c>
      <c r="G352" s="29">
        <f>IF($B352="","",IF($C352="",1,$C352))</f>
        <v/>
      </c>
      <c r="H352" s="29">
        <f>IF($B352="","",F352*G352)</f>
        <v/>
      </c>
    </row>
    <row r="353">
      <c r="A353" s="40" t="n"/>
      <c r="B353" s="41" t="n"/>
      <c r="C353" s="42" t="n"/>
      <c r="D353" s="29">
        <f>IF($B353="","",IFERROR(INDEX(機種マスタ!$A$4:$A$203,MATCH($B353,機種マスタ!$B$4:$B$203,0)),"未登録"))</f>
        <v/>
      </c>
      <c r="E353" s="29">
        <f>IF($B353="","",IFERROR(INDEX(機種マスタ!$C$4:$C$203,MATCH($B353,機種マスタ!$B$4:$B$203,0)),"-"))</f>
        <v/>
      </c>
      <c r="F353" s="29">
        <f>IF($B353="","",IFERROR(N(INDEX(機種マスタ!$D$4:$D$203,MATCH($B353,機種マスタ!$B$4:$B$203,0))),0))</f>
        <v/>
      </c>
      <c r="G353" s="29">
        <f>IF($B353="","",IF($C353="",1,$C353))</f>
        <v/>
      </c>
      <c r="H353" s="29">
        <f>IF($B353="","",F353*G353)</f>
        <v/>
      </c>
    </row>
    <row r="354">
      <c r="A354" s="40" t="n"/>
      <c r="B354" s="41" t="n"/>
      <c r="C354" s="42" t="n"/>
      <c r="D354" s="29">
        <f>IF($B354="","",IFERROR(INDEX(機種マスタ!$A$4:$A$203,MATCH($B354,機種マスタ!$B$4:$B$203,0)),"未登録"))</f>
        <v/>
      </c>
      <c r="E354" s="29">
        <f>IF($B354="","",IFERROR(INDEX(機種マスタ!$C$4:$C$203,MATCH($B354,機種マスタ!$B$4:$B$203,0)),"-"))</f>
        <v/>
      </c>
      <c r="F354" s="29">
        <f>IF($B354="","",IFERROR(N(INDEX(機種マスタ!$D$4:$D$203,MATCH($B354,機種マスタ!$B$4:$B$203,0))),0))</f>
        <v/>
      </c>
      <c r="G354" s="29">
        <f>IF($B354="","",IF($C354="",1,$C354))</f>
        <v/>
      </c>
      <c r="H354" s="29">
        <f>IF($B354="","",F354*G354)</f>
        <v/>
      </c>
    </row>
    <row r="355">
      <c r="A355" s="40" t="n"/>
      <c r="B355" s="41" t="n"/>
      <c r="C355" s="42" t="n"/>
      <c r="D355" s="29">
        <f>IF($B355="","",IFERROR(INDEX(機種マスタ!$A$4:$A$203,MATCH($B355,機種マスタ!$B$4:$B$203,0)),"未登録"))</f>
        <v/>
      </c>
      <c r="E355" s="29">
        <f>IF($B355="","",IFERROR(INDEX(機種マスタ!$C$4:$C$203,MATCH($B355,機種マスタ!$B$4:$B$203,0)),"-"))</f>
        <v/>
      </c>
      <c r="F355" s="29">
        <f>IF($B355="","",IFERROR(N(INDEX(機種マスタ!$D$4:$D$203,MATCH($B355,機種マスタ!$B$4:$B$203,0))),0))</f>
        <v/>
      </c>
      <c r="G355" s="29">
        <f>IF($B355="","",IF($C355="",1,$C355))</f>
        <v/>
      </c>
      <c r="H355" s="29">
        <f>IF($B355="","",F355*G355)</f>
        <v/>
      </c>
    </row>
    <row r="356">
      <c r="A356" s="40" t="n"/>
      <c r="B356" s="41" t="n"/>
      <c r="C356" s="42" t="n"/>
      <c r="D356" s="29">
        <f>IF($B356="","",IFERROR(INDEX(機種マスタ!$A$4:$A$203,MATCH($B356,機種マスタ!$B$4:$B$203,0)),"未登録"))</f>
        <v/>
      </c>
      <c r="E356" s="29">
        <f>IF($B356="","",IFERROR(INDEX(機種マスタ!$C$4:$C$203,MATCH($B356,機種マスタ!$B$4:$B$203,0)),"-"))</f>
        <v/>
      </c>
      <c r="F356" s="29">
        <f>IF($B356="","",IFERROR(N(INDEX(機種マスタ!$D$4:$D$203,MATCH($B356,機種マスタ!$B$4:$B$203,0))),0))</f>
        <v/>
      </c>
      <c r="G356" s="29">
        <f>IF($B356="","",IF($C356="",1,$C356))</f>
        <v/>
      </c>
      <c r="H356" s="29">
        <f>IF($B356="","",F356*G356)</f>
        <v/>
      </c>
    </row>
    <row r="357">
      <c r="A357" s="40" t="n"/>
      <c r="B357" s="41" t="n"/>
      <c r="C357" s="42" t="n"/>
      <c r="D357" s="29">
        <f>IF($B357="","",IFERROR(INDEX(機種マスタ!$A$4:$A$203,MATCH($B357,機種マスタ!$B$4:$B$203,0)),"未登録"))</f>
        <v/>
      </c>
      <c r="E357" s="29">
        <f>IF($B357="","",IFERROR(INDEX(機種マスタ!$C$4:$C$203,MATCH($B357,機種マスタ!$B$4:$B$203,0)),"-"))</f>
        <v/>
      </c>
      <c r="F357" s="29">
        <f>IF($B357="","",IFERROR(N(INDEX(機種マスタ!$D$4:$D$203,MATCH($B357,機種マスタ!$B$4:$B$203,0))),0))</f>
        <v/>
      </c>
      <c r="G357" s="29">
        <f>IF($B357="","",IF($C357="",1,$C357))</f>
        <v/>
      </c>
      <c r="H357" s="29">
        <f>IF($B357="","",F357*G357)</f>
        <v/>
      </c>
    </row>
    <row r="358">
      <c r="A358" s="40" t="n"/>
      <c r="B358" s="41" t="n"/>
      <c r="C358" s="42" t="n"/>
      <c r="D358" s="29">
        <f>IF($B358="","",IFERROR(INDEX(機種マスタ!$A$4:$A$203,MATCH($B358,機種マスタ!$B$4:$B$203,0)),"未登録"))</f>
        <v/>
      </c>
      <c r="E358" s="29">
        <f>IF($B358="","",IFERROR(INDEX(機種マスタ!$C$4:$C$203,MATCH($B358,機種マスタ!$B$4:$B$203,0)),"-"))</f>
        <v/>
      </c>
      <c r="F358" s="29">
        <f>IF($B358="","",IFERROR(N(INDEX(機種マスタ!$D$4:$D$203,MATCH($B358,機種マスタ!$B$4:$B$203,0))),0))</f>
        <v/>
      </c>
      <c r="G358" s="29">
        <f>IF($B358="","",IF($C358="",1,$C358))</f>
        <v/>
      </c>
      <c r="H358" s="29">
        <f>IF($B358="","",F358*G358)</f>
        <v/>
      </c>
    </row>
    <row r="359">
      <c r="A359" s="40" t="n"/>
      <c r="B359" s="41" t="n"/>
      <c r="C359" s="42" t="n"/>
      <c r="D359" s="29">
        <f>IF($B359="","",IFERROR(INDEX(機種マスタ!$A$4:$A$203,MATCH($B359,機種マスタ!$B$4:$B$203,0)),"未登録"))</f>
        <v/>
      </c>
      <c r="E359" s="29">
        <f>IF($B359="","",IFERROR(INDEX(機種マスタ!$C$4:$C$203,MATCH($B359,機種マスタ!$B$4:$B$203,0)),"-"))</f>
        <v/>
      </c>
      <c r="F359" s="29">
        <f>IF($B359="","",IFERROR(N(INDEX(機種マスタ!$D$4:$D$203,MATCH($B359,機種マスタ!$B$4:$B$203,0))),0))</f>
        <v/>
      </c>
      <c r="G359" s="29">
        <f>IF($B359="","",IF($C359="",1,$C359))</f>
        <v/>
      </c>
      <c r="H359" s="29">
        <f>IF($B359="","",F359*G359)</f>
        <v/>
      </c>
    </row>
    <row r="360">
      <c r="A360" s="40" t="n"/>
      <c r="B360" s="41" t="n"/>
      <c r="C360" s="42" t="n"/>
      <c r="D360" s="29">
        <f>IF($B360="","",IFERROR(INDEX(機種マスタ!$A$4:$A$203,MATCH($B360,機種マスタ!$B$4:$B$203,0)),"未登録"))</f>
        <v/>
      </c>
      <c r="E360" s="29">
        <f>IF($B360="","",IFERROR(INDEX(機種マスタ!$C$4:$C$203,MATCH($B360,機種マスタ!$B$4:$B$203,0)),"-"))</f>
        <v/>
      </c>
      <c r="F360" s="29">
        <f>IF($B360="","",IFERROR(N(INDEX(機種マスタ!$D$4:$D$203,MATCH($B360,機種マスタ!$B$4:$B$203,0))),0))</f>
        <v/>
      </c>
      <c r="G360" s="29">
        <f>IF($B360="","",IF($C360="",1,$C360))</f>
        <v/>
      </c>
      <c r="H360" s="29">
        <f>IF($B360="","",F360*G360)</f>
        <v/>
      </c>
    </row>
    <row r="361">
      <c r="A361" s="40" t="n"/>
      <c r="B361" s="41" t="n"/>
      <c r="C361" s="42" t="n"/>
      <c r="D361" s="29">
        <f>IF($B361="","",IFERROR(INDEX(機種マスタ!$A$4:$A$203,MATCH($B361,機種マスタ!$B$4:$B$203,0)),"未登録"))</f>
        <v/>
      </c>
      <c r="E361" s="29">
        <f>IF($B361="","",IFERROR(INDEX(機種マスタ!$C$4:$C$203,MATCH($B361,機種マスタ!$B$4:$B$203,0)),"-"))</f>
        <v/>
      </c>
      <c r="F361" s="29">
        <f>IF($B361="","",IFERROR(N(INDEX(機種マスタ!$D$4:$D$203,MATCH($B361,機種マスタ!$B$4:$B$203,0))),0))</f>
        <v/>
      </c>
      <c r="G361" s="29">
        <f>IF($B361="","",IF($C361="",1,$C361))</f>
        <v/>
      </c>
      <c r="H361" s="29">
        <f>IF($B361="","",F361*G361)</f>
        <v/>
      </c>
    </row>
    <row r="362">
      <c r="A362" s="40" t="n"/>
      <c r="B362" s="41" t="n"/>
      <c r="C362" s="42" t="n"/>
      <c r="D362" s="29">
        <f>IF($B362="","",IFERROR(INDEX(機種マスタ!$A$4:$A$203,MATCH($B362,機種マスタ!$B$4:$B$203,0)),"未登録"))</f>
        <v/>
      </c>
      <c r="E362" s="29">
        <f>IF($B362="","",IFERROR(INDEX(機種マスタ!$C$4:$C$203,MATCH($B362,機種マスタ!$B$4:$B$203,0)),"-"))</f>
        <v/>
      </c>
      <c r="F362" s="29">
        <f>IF($B362="","",IFERROR(N(INDEX(機種マスタ!$D$4:$D$203,MATCH($B362,機種マスタ!$B$4:$B$203,0))),0))</f>
        <v/>
      </c>
      <c r="G362" s="29">
        <f>IF($B362="","",IF($C362="",1,$C362))</f>
        <v/>
      </c>
      <c r="H362" s="29">
        <f>IF($B362="","",F362*G362)</f>
        <v/>
      </c>
    </row>
    <row r="363">
      <c r="A363" s="40" t="n"/>
      <c r="B363" s="41" t="n"/>
      <c r="C363" s="42" t="n"/>
      <c r="D363" s="29">
        <f>IF($B363="","",IFERROR(INDEX(機種マスタ!$A$4:$A$203,MATCH($B363,機種マスタ!$B$4:$B$203,0)),"未登録"))</f>
        <v/>
      </c>
      <c r="E363" s="29">
        <f>IF($B363="","",IFERROR(INDEX(機種マスタ!$C$4:$C$203,MATCH($B363,機種マスタ!$B$4:$B$203,0)),"-"))</f>
        <v/>
      </c>
      <c r="F363" s="29">
        <f>IF($B363="","",IFERROR(N(INDEX(機種マスタ!$D$4:$D$203,MATCH($B363,機種マスタ!$B$4:$B$203,0))),0))</f>
        <v/>
      </c>
      <c r="G363" s="29">
        <f>IF($B363="","",IF($C363="",1,$C363))</f>
        <v/>
      </c>
      <c r="H363" s="29">
        <f>IF($B363="","",F363*G363)</f>
        <v/>
      </c>
    </row>
    <row r="364">
      <c r="A364" s="40" t="n"/>
      <c r="B364" s="41" t="n"/>
      <c r="C364" s="42" t="n"/>
      <c r="D364" s="29">
        <f>IF($B364="","",IFERROR(INDEX(機種マスタ!$A$4:$A$203,MATCH($B364,機種マスタ!$B$4:$B$203,0)),"未登録"))</f>
        <v/>
      </c>
      <c r="E364" s="29">
        <f>IF($B364="","",IFERROR(INDEX(機種マスタ!$C$4:$C$203,MATCH($B364,機種マスタ!$B$4:$B$203,0)),"-"))</f>
        <v/>
      </c>
      <c r="F364" s="29">
        <f>IF($B364="","",IFERROR(N(INDEX(機種マスタ!$D$4:$D$203,MATCH($B364,機種マスタ!$B$4:$B$203,0))),0))</f>
        <v/>
      </c>
      <c r="G364" s="29">
        <f>IF($B364="","",IF($C364="",1,$C364))</f>
        <v/>
      </c>
      <c r="H364" s="29">
        <f>IF($B364="","",F364*G364)</f>
        <v/>
      </c>
    </row>
    <row r="365">
      <c r="A365" s="40" t="n"/>
      <c r="B365" s="41" t="n"/>
      <c r="C365" s="42" t="n"/>
      <c r="D365" s="29">
        <f>IF($B365="","",IFERROR(INDEX(機種マスタ!$A$4:$A$203,MATCH($B365,機種マスタ!$B$4:$B$203,0)),"未登録"))</f>
        <v/>
      </c>
      <c r="E365" s="29">
        <f>IF($B365="","",IFERROR(INDEX(機種マスタ!$C$4:$C$203,MATCH($B365,機種マスタ!$B$4:$B$203,0)),"-"))</f>
        <v/>
      </c>
      <c r="F365" s="29">
        <f>IF($B365="","",IFERROR(N(INDEX(機種マスタ!$D$4:$D$203,MATCH($B365,機種マスタ!$B$4:$B$203,0))),0))</f>
        <v/>
      </c>
      <c r="G365" s="29">
        <f>IF($B365="","",IF($C365="",1,$C365))</f>
        <v/>
      </c>
      <c r="H365" s="29">
        <f>IF($B365="","",F365*G365)</f>
        <v/>
      </c>
    </row>
    <row r="366">
      <c r="A366" s="40" t="n"/>
      <c r="B366" s="41" t="n"/>
      <c r="C366" s="42" t="n"/>
      <c r="D366" s="29">
        <f>IF($B366="","",IFERROR(INDEX(機種マスタ!$A$4:$A$203,MATCH($B366,機種マスタ!$B$4:$B$203,0)),"未登録"))</f>
        <v/>
      </c>
      <c r="E366" s="29">
        <f>IF($B366="","",IFERROR(INDEX(機種マスタ!$C$4:$C$203,MATCH($B366,機種マスタ!$B$4:$B$203,0)),"-"))</f>
        <v/>
      </c>
      <c r="F366" s="29">
        <f>IF($B366="","",IFERROR(N(INDEX(機種マスタ!$D$4:$D$203,MATCH($B366,機種マスタ!$B$4:$B$203,0))),0))</f>
        <v/>
      </c>
      <c r="G366" s="29">
        <f>IF($B366="","",IF($C366="",1,$C366))</f>
        <v/>
      </c>
      <c r="H366" s="29">
        <f>IF($B366="","",F366*G366)</f>
        <v/>
      </c>
    </row>
    <row r="367">
      <c r="A367" s="40" t="n"/>
      <c r="B367" s="41" t="n"/>
      <c r="C367" s="42" t="n"/>
      <c r="D367" s="29">
        <f>IF($B367="","",IFERROR(INDEX(機種マスタ!$A$4:$A$203,MATCH($B367,機種マスタ!$B$4:$B$203,0)),"未登録"))</f>
        <v/>
      </c>
      <c r="E367" s="29">
        <f>IF($B367="","",IFERROR(INDEX(機種マスタ!$C$4:$C$203,MATCH($B367,機種マスタ!$B$4:$B$203,0)),"-"))</f>
        <v/>
      </c>
      <c r="F367" s="29">
        <f>IF($B367="","",IFERROR(N(INDEX(機種マスタ!$D$4:$D$203,MATCH($B367,機種マスタ!$B$4:$B$203,0))),0))</f>
        <v/>
      </c>
      <c r="G367" s="29">
        <f>IF($B367="","",IF($C367="",1,$C367))</f>
        <v/>
      </c>
      <c r="H367" s="29">
        <f>IF($B367="","",F367*G367)</f>
        <v/>
      </c>
    </row>
    <row r="368">
      <c r="A368" s="40" t="n"/>
      <c r="B368" s="41" t="n"/>
      <c r="C368" s="42" t="n"/>
      <c r="D368" s="29">
        <f>IF($B368="","",IFERROR(INDEX(機種マスタ!$A$4:$A$203,MATCH($B368,機種マスタ!$B$4:$B$203,0)),"未登録"))</f>
        <v/>
      </c>
      <c r="E368" s="29">
        <f>IF($B368="","",IFERROR(INDEX(機種マスタ!$C$4:$C$203,MATCH($B368,機種マスタ!$B$4:$B$203,0)),"-"))</f>
        <v/>
      </c>
      <c r="F368" s="29">
        <f>IF($B368="","",IFERROR(N(INDEX(機種マスタ!$D$4:$D$203,MATCH($B368,機種マスタ!$B$4:$B$203,0))),0))</f>
        <v/>
      </c>
      <c r="G368" s="29">
        <f>IF($B368="","",IF($C368="",1,$C368))</f>
        <v/>
      </c>
      <c r="H368" s="29">
        <f>IF($B368="","",F368*G368)</f>
        <v/>
      </c>
    </row>
    <row r="369">
      <c r="A369" s="40" t="n"/>
      <c r="B369" s="41" t="n"/>
      <c r="C369" s="42" t="n"/>
      <c r="D369" s="29">
        <f>IF($B369="","",IFERROR(INDEX(機種マスタ!$A$4:$A$203,MATCH($B369,機種マスタ!$B$4:$B$203,0)),"未登録"))</f>
        <v/>
      </c>
      <c r="E369" s="29">
        <f>IF($B369="","",IFERROR(INDEX(機種マスタ!$C$4:$C$203,MATCH($B369,機種マスタ!$B$4:$B$203,0)),"-"))</f>
        <v/>
      </c>
      <c r="F369" s="29">
        <f>IF($B369="","",IFERROR(N(INDEX(機種マスタ!$D$4:$D$203,MATCH($B369,機種マスタ!$B$4:$B$203,0))),0))</f>
        <v/>
      </c>
      <c r="G369" s="29">
        <f>IF($B369="","",IF($C369="",1,$C369))</f>
        <v/>
      </c>
      <c r="H369" s="29">
        <f>IF($B369="","",F369*G369)</f>
        <v/>
      </c>
    </row>
    <row r="370">
      <c r="A370" s="40" t="n"/>
      <c r="B370" s="41" t="n"/>
      <c r="C370" s="42" t="n"/>
      <c r="D370" s="29">
        <f>IF($B370="","",IFERROR(INDEX(機種マスタ!$A$4:$A$203,MATCH($B370,機種マスタ!$B$4:$B$203,0)),"未登録"))</f>
        <v/>
      </c>
      <c r="E370" s="29">
        <f>IF($B370="","",IFERROR(INDEX(機種マスタ!$C$4:$C$203,MATCH($B370,機種マスタ!$B$4:$B$203,0)),"-"))</f>
        <v/>
      </c>
      <c r="F370" s="29">
        <f>IF($B370="","",IFERROR(N(INDEX(機種マスタ!$D$4:$D$203,MATCH($B370,機種マスタ!$B$4:$B$203,0))),0))</f>
        <v/>
      </c>
      <c r="G370" s="29">
        <f>IF($B370="","",IF($C370="",1,$C370))</f>
        <v/>
      </c>
      <c r="H370" s="29">
        <f>IF($B370="","",F370*G370)</f>
        <v/>
      </c>
    </row>
    <row r="371">
      <c r="A371" s="40" t="n"/>
      <c r="B371" s="41" t="n"/>
      <c r="C371" s="42" t="n"/>
      <c r="D371" s="29">
        <f>IF($B371="","",IFERROR(INDEX(機種マスタ!$A$4:$A$203,MATCH($B371,機種マスタ!$B$4:$B$203,0)),"未登録"))</f>
        <v/>
      </c>
      <c r="E371" s="29">
        <f>IF($B371="","",IFERROR(INDEX(機種マスタ!$C$4:$C$203,MATCH($B371,機種マスタ!$B$4:$B$203,0)),"-"))</f>
        <v/>
      </c>
      <c r="F371" s="29">
        <f>IF($B371="","",IFERROR(N(INDEX(機種マスタ!$D$4:$D$203,MATCH($B371,機種マスタ!$B$4:$B$203,0))),0))</f>
        <v/>
      </c>
      <c r="G371" s="29">
        <f>IF($B371="","",IF($C371="",1,$C371))</f>
        <v/>
      </c>
      <c r="H371" s="29">
        <f>IF($B371="","",F371*G371)</f>
        <v/>
      </c>
    </row>
    <row r="372">
      <c r="A372" s="40" t="n"/>
      <c r="B372" s="41" t="n"/>
      <c r="C372" s="42" t="n"/>
      <c r="D372" s="29">
        <f>IF($B372="","",IFERROR(INDEX(機種マスタ!$A$4:$A$203,MATCH($B372,機種マスタ!$B$4:$B$203,0)),"未登録"))</f>
        <v/>
      </c>
      <c r="E372" s="29">
        <f>IF($B372="","",IFERROR(INDEX(機種マスタ!$C$4:$C$203,MATCH($B372,機種マスタ!$B$4:$B$203,0)),"-"))</f>
        <v/>
      </c>
      <c r="F372" s="29">
        <f>IF($B372="","",IFERROR(N(INDEX(機種マスタ!$D$4:$D$203,MATCH($B372,機種マスタ!$B$4:$B$203,0))),0))</f>
        <v/>
      </c>
      <c r="G372" s="29">
        <f>IF($B372="","",IF($C372="",1,$C372))</f>
        <v/>
      </c>
      <c r="H372" s="29">
        <f>IF($B372="","",F372*G372)</f>
        <v/>
      </c>
    </row>
    <row r="373">
      <c r="A373" s="40" t="n"/>
      <c r="B373" s="41" t="n"/>
      <c r="C373" s="42" t="n"/>
      <c r="D373" s="29">
        <f>IF($B373="","",IFERROR(INDEX(機種マスタ!$A$4:$A$203,MATCH($B373,機種マスタ!$B$4:$B$203,0)),"未登録"))</f>
        <v/>
      </c>
      <c r="E373" s="29">
        <f>IF($B373="","",IFERROR(INDEX(機種マスタ!$C$4:$C$203,MATCH($B373,機種マスタ!$B$4:$B$203,0)),"-"))</f>
        <v/>
      </c>
      <c r="F373" s="29">
        <f>IF($B373="","",IFERROR(N(INDEX(機種マスタ!$D$4:$D$203,MATCH($B373,機種マスタ!$B$4:$B$203,0))),0))</f>
        <v/>
      </c>
      <c r="G373" s="29">
        <f>IF($B373="","",IF($C373="",1,$C373))</f>
        <v/>
      </c>
      <c r="H373" s="29">
        <f>IF($B373="","",F373*G373)</f>
        <v/>
      </c>
    </row>
    <row r="374">
      <c r="A374" s="40" t="n"/>
      <c r="B374" s="41" t="n"/>
      <c r="C374" s="42" t="n"/>
      <c r="D374" s="29">
        <f>IF($B374="","",IFERROR(INDEX(機種マスタ!$A$4:$A$203,MATCH($B374,機種マスタ!$B$4:$B$203,0)),"未登録"))</f>
        <v/>
      </c>
      <c r="E374" s="29">
        <f>IF($B374="","",IFERROR(INDEX(機種マスタ!$C$4:$C$203,MATCH($B374,機種マスタ!$B$4:$B$203,0)),"-"))</f>
        <v/>
      </c>
      <c r="F374" s="29">
        <f>IF($B374="","",IFERROR(N(INDEX(機種マスタ!$D$4:$D$203,MATCH($B374,機種マスタ!$B$4:$B$203,0))),0))</f>
        <v/>
      </c>
      <c r="G374" s="29">
        <f>IF($B374="","",IF($C374="",1,$C374))</f>
        <v/>
      </c>
      <c r="H374" s="29">
        <f>IF($B374="","",F374*G374)</f>
        <v/>
      </c>
    </row>
    <row r="375">
      <c r="A375" s="40" t="n"/>
      <c r="B375" s="41" t="n"/>
      <c r="C375" s="42" t="n"/>
      <c r="D375" s="29">
        <f>IF($B375="","",IFERROR(INDEX(機種マスタ!$A$4:$A$203,MATCH($B375,機種マスタ!$B$4:$B$203,0)),"未登録"))</f>
        <v/>
      </c>
      <c r="E375" s="29">
        <f>IF($B375="","",IFERROR(INDEX(機種マスタ!$C$4:$C$203,MATCH($B375,機種マスタ!$B$4:$B$203,0)),"-"))</f>
        <v/>
      </c>
      <c r="F375" s="29">
        <f>IF($B375="","",IFERROR(N(INDEX(機種マスタ!$D$4:$D$203,MATCH($B375,機種マスタ!$B$4:$B$203,0))),0))</f>
        <v/>
      </c>
      <c r="G375" s="29">
        <f>IF($B375="","",IF($C375="",1,$C375))</f>
        <v/>
      </c>
      <c r="H375" s="29">
        <f>IF($B375="","",F375*G375)</f>
        <v/>
      </c>
    </row>
    <row r="376">
      <c r="A376" s="40" t="n"/>
      <c r="B376" s="41" t="n"/>
      <c r="C376" s="42" t="n"/>
      <c r="D376" s="29">
        <f>IF($B376="","",IFERROR(INDEX(機種マスタ!$A$4:$A$203,MATCH($B376,機種マスタ!$B$4:$B$203,0)),"未登録"))</f>
        <v/>
      </c>
      <c r="E376" s="29">
        <f>IF($B376="","",IFERROR(INDEX(機種マスタ!$C$4:$C$203,MATCH($B376,機種マスタ!$B$4:$B$203,0)),"-"))</f>
        <v/>
      </c>
      <c r="F376" s="29">
        <f>IF($B376="","",IFERROR(N(INDEX(機種マスタ!$D$4:$D$203,MATCH($B376,機種マスタ!$B$4:$B$203,0))),0))</f>
        <v/>
      </c>
      <c r="G376" s="29">
        <f>IF($B376="","",IF($C376="",1,$C376))</f>
        <v/>
      </c>
      <c r="H376" s="29">
        <f>IF($B376="","",F376*G376)</f>
        <v/>
      </c>
    </row>
    <row r="377">
      <c r="A377" s="40" t="n"/>
      <c r="B377" s="41" t="n"/>
      <c r="C377" s="42" t="n"/>
      <c r="D377" s="29">
        <f>IF($B377="","",IFERROR(INDEX(機種マスタ!$A$4:$A$203,MATCH($B377,機種マスタ!$B$4:$B$203,0)),"未登録"))</f>
        <v/>
      </c>
      <c r="E377" s="29">
        <f>IF($B377="","",IFERROR(INDEX(機種マスタ!$C$4:$C$203,MATCH($B377,機種マスタ!$B$4:$B$203,0)),"-"))</f>
        <v/>
      </c>
      <c r="F377" s="29">
        <f>IF($B377="","",IFERROR(N(INDEX(機種マスタ!$D$4:$D$203,MATCH($B377,機種マスタ!$B$4:$B$203,0))),0))</f>
        <v/>
      </c>
      <c r="G377" s="29">
        <f>IF($B377="","",IF($C377="",1,$C377))</f>
        <v/>
      </c>
      <c r="H377" s="29">
        <f>IF($B377="","",F377*G377)</f>
        <v/>
      </c>
    </row>
    <row r="378">
      <c r="A378" s="40" t="n"/>
      <c r="B378" s="41" t="n"/>
      <c r="C378" s="42" t="n"/>
      <c r="D378" s="29">
        <f>IF($B378="","",IFERROR(INDEX(機種マスタ!$A$4:$A$203,MATCH($B378,機種マスタ!$B$4:$B$203,0)),"未登録"))</f>
        <v/>
      </c>
      <c r="E378" s="29">
        <f>IF($B378="","",IFERROR(INDEX(機種マスタ!$C$4:$C$203,MATCH($B378,機種マスタ!$B$4:$B$203,0)),"-"))</f>
        <v/>
      </c>
      <c r="F378" s="29">
        <f>IF($B378="","",IFERROR(N(INDEX(機種マスタ!$D$4:$D$203,MATCH($B378,機種マスタ!$B$4:$B$203,0))),0))</f>
        <v/>
      </c>
      <c r="G378" s="29">
        <f>IF($B378="","",IF($C378="",1,$C378))</f>
        <v/>
      </c>
      <c r="H378" s="29">
        <f>IF($B378="","",F378*G378)</f>
        <v/>
      </c>
    </row>
    <row r="379">
      <c r="A379" s="40" t="n"/>
      <c r="B379" s="41" t="n"/>
      <c r="C379" s="42" t="n"/>
      <c r="D379" s="29">
        <f>IF($B379="","",IFERROR(INDEX(機種マスタ!$A$4:$A$203,MATCH($B379,機種マスタ!$B$4:$B$203,0)),"未登録"))</f>
        <v/>
      </c>
      <c r="E379" s="29">
        <f>IF($B379="","",IFERROR(INDEX(機種マスタ!$C$4:$C$203,MATCH($B379,機種マスタ!$B$4:$B$203,0)),"-"))</f>
        <v/>
      </c>
      <c r="F379" s="29">
        <f>IF($B379="","",IFERROR(N(INDEX(機種マスタ!$D$4:$D$203,MATCH($B379,機種マスタ!$B$4:$B$203,0))),0))</f>
        <v/>
      </c>
      <c r="G379" s="29">
        <f>IF($B379="","",IF($C379="",1,$C379))</f>
        <v/>
      </c>
      <c r="H379" s="29">
        <f>IF($B379="","",F379*G379)</f>
        <v/>
      </c>
    </row>
    <row r="380">
      <c r="A380" s="40" t="n"/>
      <c r="B380" s="41" t="n"/>
      <c r="C380" s="42" t="n"/>
      <c r="D380" s="29">
        <f>IF($B380="","",IFERROR(INDEX(機種マスタ!$A$4:$A$203,MATCH($B380,機種マスタ!$B$4:$B$203,0)),"未登録"))</f>
        <v/>
      </c>
      <c r="E380" s="29">
        <f>IF($B380="","",IFERROR(INDEX(機種マスタ!$C$4:$C$203,MATCH($B380,機種マスタ!$B$4:$B$203,0)),"-"))</f>
        <v/>
      </c>
      <c r="F380" s="29">
        <f>IF($B380="","",IFERROR(N(INDEX(機種マスタ!$D$4:$D$203,MATCH($B380,機種マスタ!$B$4:$B$203,0))),0))</f>
        <v/>
      </c>
      <c r="G380" s="29">
        <f>IF($B380="","",IF($C380="",1,$C380))</f>
        <v/>
      </c>
      <c r="H380" s="29">
        <f>IF($B380="","",F380*G380)</f>
        <v/>
      </c>
    </row>
    <row r="381">
      <c r="A381" s="40" t="n"/>
      <c r="B381" s="41" t="n"/>
      <c r="C381" s="42" t="n"/>
      <c r="D381" s="29">
        <f>IF($B381="","",IFERROR(INDEX(機種マスタ!$A$4:$A$203,MATCH($B381,機種マスタ!$B$4:$B$203,0)),"未登録"))</f>
        <v/>
      </c>
      <c r="E381" s="29">
        <f>IF($B381="","",IFERROR(INDEX(機種マスタ!$C$4:$C$203,MATCH($B381,機種マスタ!$B$4:$B$203,0)),"-"))</f>
        <v/>
      </c>
      <c r="F381" s="29">
        <f>IF($B381="","",IFERROR(N(INDEX(機種マスタ!$D$4:$D$203,MATCH($B381,機種マスタ!$B$4:$B$203,0))),0))</f>
        <v/>
      </c>
      <c r="G381" s="29">
        <f>IF($B381="","",IF($C381="",1,$C381))</f>
        <v/>
      </c>
      <c r="H381" s="29">
        <f>IF($B381="","",F381*G381)</f>
        <v/>
      </c>
    </row>
    <row r="382">
      <c r="A382" s="40" t="n"/>
      <c r="B382" s="41" t="n"/>
      <c r="C382" s="42" t="n"/>
      <c r="D382" s="29">
        <f>IF($B382="","",IFERROR(INDEX(機種マスタ!$A$4:$A$203,MATCH($B382,機種マスタ!$B$4:$B$203,0)),"未登録"))</f>
        <v/>
      </c>
      <c r="E382" s="29">
        <f>IF($B382="","",IFERROR(INDEX(機種マスタ!$C$4:$C$203,MATCH($B382,機種マスタ!$B$4:$B$203,0)),"-"))</f>
        <v/>
      </c>
      <c r="F382" s="29">
        <f>IF($B382="","",IFERROR(N(INDEX(機種マスタ!$D$4:$D$203,MATCH($B382,機種マスタ!$B$4:$B$203,0))),0))</f>
        <v/>
      </c>
      <c r="G382" s="29">
        <f>IF($B382="","",IF($C382="",1,$C382))</f>
        <v/>
      </c>
      <c r="H382" s="29">
        <f>IF($B382="","",F382*G382)</f>
        <v/>
      </c>
    </row>
    <row r="383">
      <c r="A383" s="40" t="n"/>
      <c r="B383" s="41" t="n"/>
      <c r="C383" s="42" t="n"/>
      <c r="D383" s="29">
        <f>IF($B383="","",IFERROR(INDEX(機種マスタ!$A$4:$A$203,MATCH($B383,機種マスタ!$B$4:$B$203,0)),"未登録"))</f>
        <v/>
      </c>
      <c r="E383" s="29">
        <f>IF($B383="","",IFERROR(INDEX(機種マスタ!$C$4:$C$203,MATCH($B383,機種マスタ!$B$4:$B$203,0)),"-"))</f>
        <v/>
      </c>
      <c r="F383" s="29">
        <f>IF($B383="","",IFERROR(N(INDEX(機種マスタ!$D$4:$D$203,MATCH($B383,機種マスタ!$B$4:$B$203,0))),0))</f>
        <v/>
      </c>
      <c r="G383" s="29">
        <f>IF($B383="","",IF($C383="",1,$C383))</f>
        <v/>
      </c>
      <c r="H383" s="29">
        <f>IF($B383="","",F383*G383)</f>
        <v/>
      </c>
    </row>
    <row r="384">
      <c r="A384" s="40" t="n"/>
      <c r="B384" s="41" t="n"/>
      <c r="C384" s="42" t="n"/>
      <c r="D384" s="29">
        <f>IF($B384="","",IFERROR(INDEX(機種マスタ!$A$4:$A$203,MATCH($B384,機種マスタ!$B$4:$B$203,0)),"未登録"))</f>
        <v/>
      </c>
      <c r="E384" s="29">
        <f>IF($B384="","",IFERROR(INDEX(機種マスタ!$C$4:$C$203,MATCH($B384,機種マスタ!$B$4:$B$203,0)),"-"))</f>
        <v/>
      </c>
      <c r="F384" s="29">
        <f>IF($B384="","",IFERROR(N(INDEX(機種マスタ!$D$4:$D$203,MATCH($B384,機種マスタ!$B$4:$B$203,0))),0))</f>
        <v/>
      </c>
      <c r="G384" s="29">
        <f>IF($B384="","",IF($C384="",1,$C384))</f>
        <v/>
      </c>
      <c r="H384" s="29">
        <f>IF($B384="","",F384*G384)</f>
        <v/>
      </c>
    </row>
    <row r="385">
      <c r="A385" s="40" t="n"/>
      <c r="B385" s="41" t="n"/>
      <c r="C385" s="42" t="n"/>
      <c r="D385" s="29">
        <f>IF($B385="","",IFERROR(INDEX(機種マスタ!$A$4:$A$203,MATCH($B385,機種マスタ!$B$4:$B$203,0)),"未登録"))</f>
        <v/>
      </c>
      <c r="E385" s="29">
        <f>IF($B385="","",IFERROR(INDEX(機種マスタ!$C$4:$C$203,MATCH($B385,機種マスタ!$B$4:$B$203,0)),"-"))</f>
        <v/>
      </c>
      <c r="F385" s="29">
        <f>IF($B385="","",IFERROR(N(INDEX(機種マスタ!$D$4:$D$203,MATCH($B385,機種マスタ!$B$4:$B$203,0))),0))</f>
        <v/>
      </c>
      <c r="G385" s="29">
        <f>IF($B385="","",IF($C385="",1,$C385))</f>
        <v/>
      </c>
      <c r="H385" s="29">
        <f>IF($B385="","",F385*G385)</f>
        <v/>
      </c>
    </row>
    <row r="386">
      <c r="A386" s="40" t="n"/>
      <c r="B386" s="41" t="n"/>
      <c r="C386" s="42" t="n"/>
      <c r="D386" s="29">
        <f>IF($B386="","",IFERROR(INDEX(機種マスタ!$A$4:$A$203,MATCH($B386,機種マスタ!$B$4:$B$203,0)),"未登録"))</f>
        <v/>
      </c>
      <c r="E386" s="29">
        <f>IF($B386="","",IFERROR(INDEX(機種マスタ!$C$4:$C$203,MATCH($B386,機種マスタ!$B$4:$B$203,0)),"-"))</f>
        <v/>
      </c>
      <c r="F386" s="29">
        <f>IF($B386="","",IFERROR(N(INDEX(機種マスタ!$D$4:$D$203,MATCH($B386,機種マスタ!$B$4:$B$203,0))),0))</f>
        <v/>
      </c>
      <c r="G386" s="29">
        <f>IF($B386="","",IF($C386="",1,$C386))</f>
        <v/>
      </c>
      <c r="H386" s="29">
        <f>IF($B386="","",F386*G386)</f>
        <v/>
      </c>
    </row>
    <row r="387">
      <c r="A387" s="40" t="n"/>
      <c r="B387" s="41" t="n"/>
      <c r="C387" s="42" t="n"/>
      <c r="D387" s="29">
        <f>IF($B387="","",IFERROR(INDEX(機種マスタ!$A$4:$A$203,MATCH($B387,機種マスタ!$B$4:$B$203,0)),"未登録"))</f>
        <v/>
      </c>
      <c r="E387" s="29">
        <f>IF($B387="","",IFERROR(INDEX(機種マスタ!$C$4:$C$203,MATCH($B387,機種マスタ!$B$4:$B$203,0)),"-"))</f>
        <v/>
      </c>
      <c r="F387" s="29">
        <f>IF($B387="","",IFERROR(N(INDEX(機種マスタ!$D$4:$D$203,MATCH($B387,機種マスタ!$B$4:$B$203,0))),0))</f>
        <v/>
      </c>
      <c r="G387" s="29">
        <f>IF($B387="","",IF($C387="",1,$C387))</f>
        <v/>
      </c>
      <c r="H387" s="29">
        <f>IF($B387="","",F387*G387)</f>
        <v/>
      </c>
    </row>
    <row r="388">
      <c r="A388" s="40" t="n"/>
      <c r="B388" s="41" t="n"/>
      <c r="C388" s="42" t="n"/>
      <c r="D388" s="29">
        <f>IF($B388="","",IFERROR(INDEX(機種マスタ!$A$4:$A$203,MATCH($B388,機種マスタ!$B$4:$B$203,0)),"未登録"))</f>
        <v/>
      </c>
      <c r="E388" s="29">
        <f>IF($B388="","",IFERROR(INDEX(機種マスタ!$C$4:$C$203,MATCH($B388,機種マスタ!$B$4:$B$203,0)),"-"))</f>
        <v/>
      </c>
      <c r="F388" s="29">
        <f>IF($B388="","",IFERROR(N(INDEX(機種マスタ!$D$4:$D$203,MATCH($B388,機種マスタ!$B$4:$B$203,0))),0))</f>
        <v/>
      </c>
      <c r="G388" s="29">
        <f>IF($B388="","",IF($C388="",1,$C388))</f>
        <v/>
      </c>
      <c r="H388" s="29">
        <f>IF($B388="","",F388*G388)</f>
        <v/>
      </c>
    </row>
    <row r="389">
      <c r="A389" s="40" t="n"/>
      <c r="B389" s="41" t="n"/>
      <c r="C389" s="42" t="n"/>
      <c r="D389" s="29">
        <f>IF($B389="","",IFERROR(INDEX(機種マスタ!$A$4:$A$203,MATCH($B389,機種マスタ!$B$4:$B$203,0)),"未登録"))</f>
        <v/>
      </c>
      <c r="E389" s="29">
        <f>IF($B389="","",IFERROR(INDEX(機種マスタ!$C$4:$C$203,MATCH($B389,機種マスタ!$B$4:$B$203,0)),"-"))</f>
        <v/>
      </c>
      <c r="F389" s="29">
        <f>IF($B389="","",IFERROR(N(INDEX(機種マスタ!$D$4:$D$203,MATCH($B389,機種マスタ!$B$4:$B$203,0))),0))</f>
        <v/>
      </c>
      <c r="G389" s="29">
        <f>IF($B389="","",IF($C389="",1,$C389))</f>
        <v/>
      </c>
      <c r="H389" s="29">
        <f>IF($B389="","",F389*G389)</f>
        <v/>
      </c>
    </row>
    <row r="390">
      <c r="A390" s="40" t="n"/>
      <c r="B390" s="41" t="n"/>
      <c r="C390" s="42" t="n"/>
      <c r="D390" s="29">
        <f>IF($B390="","",IFERROR(INDEX(機種マスタ!$A$4:$A$203,MATCH($B390,機種マスタ!$B$4:$B$203,0)),"未登録"))</f>
        <v/>
      </c>
      <c r="E390" s="29">
        <f>IF($B390="","",IFERROR(INDEX(機種マスタ!$C$4:$C$203,MATCH($B390,機種マスタ!$B$4:$B$203,0)),"-"))</f>
        <v/>
      </c>
      <c r="F390" s="29">
        <f>IF($B390="","",IFERROR(N(INDEX(機種マスタ!$D$4:$D$203,MATCH($B390,機種マスタ!$B$4:$B$203,0))),0))</f>
        <v/>
      </c>
      <c r="G390" s="29">
        <f>IF($B390="","",IF($C390="",1,$C390))</f>
        <v/>
      </c>
      <c r="H390" s="29">
        <f>IF($B390="","",F390*G390)</f>
        <v/>
      </c>
    </row>
    <row r="391">
      <c r="A391" s="40" t="n"/>
      <c r="B391" s="41" t="n"/>
      <c r="C391" s="42" t="n"/>
      <c r="D391" s="29">
        <f>IF($B391="","",IFERROR(INDEX(機種マスタ!$A$4:$A$203,MATCH($B391,機種マスタ!$B$4:$B$203,0)),"未登録"))</f>
        <v/>
      </c>
      <c r="E391" s="29">
        <f>IF($B391="","",IFERROR(INDEX(機種マスタ!$C$4:$C$203,MATCH($B391,機種マスタ!$B$4:$B$203,0)),"-"))</f>
        <v/>
      </c>
      <c r="F391" s="29">
        <f>IF($B391="","",IFERROR(N(INDEX(機種マスタ!$D$4:$D$203,MATCH($B391,機種マスタ!$B$4:$B$203,0))),0))</f>
        <v/>
      </c>
      <c r="G391" s="29">
        <f>IF($B391="","",IF($C391="",1,$C391))</f>
        <v/>
      </c>
      <c r="H391" s="29">
        <f>IF($B391="","",F391*G391)</f>
        <v/>
      </c>
    </row>
    <row r="392">
      <c r="A392" s="40" t="n"/>
      <c r="B392" s="41" t="n"/>
      <c r="C392" s="42" t="n"/>
      <c r="D392" s="29">
        <f>IF($B392="","",IFERROR(INDEX(機種マスタ!$A$4:$A$203,MATCH($B392,機種マスタ!$B$4:$B$203,0)),"未登録"))</f>
        <v/>
      </c>
      <c r="E392" s="29">
        <f>IF($B392="","",IFERROR(INDEX(機種マスタ!$C$4:$C$203,MATCH($B392,機種マスタ!$B$4:$B$203,0)),"-"))</f>
        <v/>
      </c>
      <c r="F392" s="29">
        <f>IF($B392="","",IFERROR(N(INDEX(機種マスタ!$D$4:$D$203,MATCH($B392,機種マスタ!$B$4:$B$203,0))),0))</f>
        <v/>
      </c>
      <c r="G392" s="29">
        <f>IF($B392="","",IF($C392="",1,$C392))</f>
        <v/>
      </c>
      <c r="H392" s="29">
        <f>IF($B392="","",F392*G392)</f>
        <v/>
      </c>
    </row>
    <row r="393">
      <c r="A393" s="40" t="n"/>
      <c r="B393" s="41" t="n"/>
      <c r="C393" s="42" t="n"/>
      <c r="D393" s="29">
        <f>IF($B393="","",IFERROR(INDEX(機種マスタ!$A$4:$A$203,MATCH($B393,機種マスタ!$B$4:$B$203,0)),"未登録"))</f>
        <v/>
      </c>
      <c r="E393" s="29">
        <f>IF($B393="","",IFERROR(INDEX(機種マスタ!$C$4:$C$203,MATCH($B393,機種マスタ!$B$4:$B$203,0)),"-"))</f>
        <v/>
      </c>
      <c r="F393" s="29">
        <f>IF($B393="","",IFERROR(N(INDEX(機種マスタ!$D$4:$D$203,MATCH($B393,機種マスタ!$B$4:$B$203,0))),0))</f>
        <v/>
      </c>
      <c r="G393" s="29">
        <f>IF($B393="","",IF($C393="",1,$C393))</f>
        <v/>
      </c>
      <c r="H393" s="29">
        <f>IF($B393="","",F393*G393)</f>
        <v/>
      </c>
    </row>
    <row r="394">
      <c r="A394" s="40" t="n"/>
      <c r="B394" s="41" t="n"/>
      <c r="C394" s="42" t="n"/>
      <c r="D394" s="29">
        <f>IF($B394="","",IFERROR(INDEX(機種マスタ!$A$4:$A$203,MATCH($B394,機種マスタ!$B$4:$B$203,0)),"未登録"))</f>
        <v/>
      </c>
      <c r="E394" s="29">
        <f>IF($B394="","",IFERROR(INDEX(機種マスタ!$C$4:$C$203,MATCH($B394,機種マスタ!$B$4:$B$203,0)),"-"))</f>
        <v/>
      </c>
      <c r="F394" s="29">
        <f>IF($B394="","",IFERROR(N(INDEX(機種マスタ!$D$4:$D$203,MATCH($B394,機種マスタ!$B$4:$B$203,0))),0))</f>
        <v/>
      </c>
      <c r="G394" s="29">
        <f>IF($B394="","",IF($C394="",1,$C394))</f>
        <v/>
      </c>
      <c r="H394" s="29">
        <f>IF($B394="","",F394*G394)</f>
        <v/>
      </c>
    </row>
    <row r="395">
      <c r="A395" s="40" t="n"/>
      <c r="B395" s="41" t="n"/>
      <c r="C395" s="42" t="n"/>
      <c r="D395" s="29">
        <f>IF($B395="","",IFERROR(INDEX(機種マスタ!$A$4:$A$203,MATCH($B395,機種マスタ!$B$4:$B$203,0)),"未登録"))</f>
        <v/>
      </c>
      <c r="E395" s="29">
        <f>IF($B395="","",IFERROR(INDEX(機種マスタ!$C$4:$C$203,MATCH($B395,機種マスタ!$B$4:$B$203,0)),"-"))</f>
        <v/>
      </c>
      <c r="F395" s="29">
        <f>IF($B395="","",IFERROR(N(INDEX(機種マスタ!$D$4:$D$203,MATCH($B395,機種マスタ!$B$4:$B$203,0))),0))</f>
        <v/>
      </c>
      <c r="G395" s="29">
        <f>IF($B395="","",IF($C395="",1,$C395))</f>
        <v/>
      </c>
      <c r="H395" s="29">
        <f>IF($B395="","",F395*G395)</f>
        <v/>
      </c>
    </row>
    <row r="396">
      <c r="A396" s="40" t="n"/>
      <c r="B396" s="41" t="n"/>
      <c r="C396" s="42" t="n"/>
      <c r="D396" s="29">
        <f>IF($B396="","",IFERROR(INDEX(機種マスタ!$A$4:$A$203,MATCH($B396,機種マスタ!$B$4:$B$203,0)),"未登録"))</f>
        <v/>
      </c>
      <c r="E396" s="29">
        <f>IF($B396="","",IFERROR(INDEX(機種マスタ!$C$4:$C$203,MATCH($B396,機種マスタ!$B$4:$B$203,0)),"-"))</f>
        <v/>
      </c>
      <c r="F396" s="29">
        <f>IF($B396="","",IFERROR(N(INDEX(機種マスタ!$D$4:$D$203,MATCH($B396,機種マスタ!$B$4:$B$203,0))),0))</f>
        <v/>
      </c>
      <c r="G396" s="29">
        <f>IF($B396="","",IF($C396="",1,$C396))</f>
        <v/>
      </c>
      <c r="H396" s="29">
        <f>IF($B396="","",F396*G396)</f>
        <v/>
      </c>
    </row>
    <row r="397">
      <c r="A397" s="40" t="n"/>
      <c r="B397" s="41" t="n"/>
      <c r="C397" s="42" t="n"/>
      <c r="D397" s="29">
        <f>IF($B397="","",IFERROR(INDEX(機種マスタ!$A$4:$A$203,MATCH($B397,機種マスタ!$B$4:$B$203,0)),"未登録"))</f>
        <v/>
      </c>
      <c r="E397" s="29">
        <f>IF($B397="","",IFERROR(INDEX(機種マスタ!$C$4:$C$203,MATCH($B397,機種マスタ!$B$4:$B$203,0)),"-"))</f>
        <v/>
      </c>
      <c r="F397" s="29">
        <f>IF($B397="","",IFERROR(N(INDEX(機種マスタ!$D$4:$D$203,MATCH($B397,機種マスタ!$B$4:$B$203,0))),0))</f>
        <v/>
      </c>
      <c r="G397" s="29">
        <f>IF($B397="","",IF($C397="",1,$C397))</f>
        <v/>
      </c>
      <c r="H397" s="29">
        <f>IF($B397="","",F397*G397)</f>
        <v/>
      </c>
    </row>
    <row r="398">
      <c r="A398" s="40" t="n"/>
      <c r="B398" s="41" t="n"/>
      <c r="C398" s="42" t="n"/>
      <c r="D398" s="29">
        <f>IF($B398="","",IFERROR(INDEX(機種マスタ!$A$4:$A$203,MATCH($B398,機種マスタ!$B$4:$B$203,0)),"未登録"))</f>
        <v/>
      </c>
      <c r="E398" s="29">
        <f>IF($B398="","",IFERROR(INDEX(機種マスタ!$C$4:$C$203,MATCH($B398,機種マスタ!$B$4:$B$203,0)),"-"))</f>
        <v/>
      </c>
      <c r="F398" s="29">
        <f>IF($B398="","",IFERROR(N(INDEX(機種マスタ!$D$4:$D$203,MATCH($B398,機種マスタ!$B$4:$B$203,0))),0))</f>
        <v/>
      </c>
      <c r="G398" s="29">
        <f>IF($B398="","",IF($C398="",1,$C398))</f>
        <v/>
      </c>
      <c r="H398" s="29">
        <f>IF($B398="","",F398*G398)</f>
        <v/>
      </c>
    </row>
    <row r="399">
      <c r="A399" s="40" t="n"/>
      <c r="B399" s="41" t="n"/>
      <c r="C399" s="42" t="n"/>
      <c r="D399" s="29">
        <f>IF($B399="","",IFERROR(INDEX(機種マスタ!$A$4:$A$203,MATCH($B399,機種マスタ!$B$4:$B$203,0)),"未登録"))</f>
        <v/>
      </c>
      <c r="E399" s="29">
        <f>IF($B399="","",IFERROR(INDEX(機種マスタ!$C$4:$C$203,MATCH($B399,機種マスタ!$B$4:$B$203,0)),"-"))</f>
        <v/>
      </c>
      <c r="F399" s="29">
        <f>IF($B399="","",IFERROR(N(INDEX(機種マスタ!$D$4:$D$203,MATCH($B399,機種マスタ!$B$4:$B$203,0))),0))</f>
        <v/>
      </c>
      <c r="G399" s="29">
        <f>IF($B399="","",IF($C399="",1,$C399))</f>
        <v/>
      </c>
      <c r="H399" s="29">
        <f>IF($B399="","",F399*G399)</f>
        <v/>
      </c>
    </row>
    <row r="400">
      <c r="A400" s="40" t="n"/>
      <c r="B400" s="41" t="n"/>
      <c r="C400" s="42" t="n"/>
      <c r="D400" s="29">
        <f>IF($B400="","",IFERROR(INDEX(機種マスタ!$A$4:$A$203,MATCH($B400,機種マスタ!$B$4:$B$203,0)),"未登録"))</f>
        <v/>
      </c>
      <c r="E400" s="29">
        <f>IF($B400="","",IFERROR(INDEX(機種マスタ!$C$4:$C$203,MATCH($B400,機種マスタ!$B$4:$B$203,0)),"-"))</f>
        <v/>
      </c>
      <c r="F400" s="29">
        <f>IF($B400="","",IFERROR(N(INDEX(機種マスタ!$D$4:$D$203,MATCH($B400,機種マスタ!$B$4:$B$203,0))),0))</f>
        <v/>
      </c>
      <c r="G400" s="29">
        <f>IF($B400="","",IF($C400="",1,$C400))</f>
        <v/>
      </c>
      <c r="H400" s="29">
        <f>IF($B400="","",F400*G400)</f>
        <v/>
      </c>
    </row>
    <row r="401">
      <c r="A401" s="40" t="n"/>
      <c r="B401" s="41" t="n"/>
      <c r="C401" s="42" t="n"/>
      <c r="D401" s="29">
        <f>IF($B401="","",IFERROR(INDEX(機種マスタ!$A$4:$A$203,MATCH($B401,機種マスタ!$B$4:$B$203,0)),"未登録"))</f>
        <v/>
      </c>
      <c r="E401" s="29">
        <f>IF($B401="","",IFERROR(INDEX(機種マスタ!$C$4:$C$203,MATCH($B401,機種マスタ!$B$4:$B$203,0)),"-"))</f>
        <v/>
      </c>
      <c r="F401" s="29">
        <f>IF($B401="","",IFERROR(N(INDEX(機種マスタ!$D$4:$D$203,MATCH($B401,機種マスタ!$B$4:$B$203,0))),0))</f>
        <v/>
      </c>
      <c r="G401" s="29">
        <f>IF($B401="","",IF($C401="",1,$C401))</f>
        <v/>
      </c>
      <c r="H401" s="29">
        <f>IF($B401="","",F401*G401)</f>
        <v/>
      </c>
    </row>
    <row r="402">
      <c r="A402" s="40" t="n"/>
      <c r="B402" s="41" t="n"/>
      <c r="C402" s="42" t="n"/>
      <c r="D402" s="29">
        <f>IF($B402="","",IFERROR(INDEX(機種マスタ!$A$4:$A$203,MATCH($B402,機種マスタ!$B$4:$B$203,0)),"未登録"))</f>
        <v/>
      </c>
      <c r="E402" s="29">
        <f>IF($B402="","",IFERROR(INDEX(機種マスタ!$C$4:$C$203,MATCH($B402,機種マスタ!$B$4:$B$203,0)),"-"))</f>
        <v/>
      </c>
      <c r="F402" s="29">
        <f>IF($B402="","",IFERROR(N(INDEX(機種マスタ!$D$4:$D$203,MATCH($B402,機種マスタ!$B$4:$B$203,0))),0))</f>
        <v/>
      </c>
      <c r="G402" s="29">
        <f>IF($B402="","",IF($C402="",1,$C402))</f>
        <v/>
      </c>
      <c r="H402" s="29">
        <f>IF($B402="","",F402*G402)</f>
        <v/>
      </c>
    </row>
    <row r="403">
      <c r="A403" s="40" t="n"/>
      <c r="B403" s="41" t="n"/>
      <c r="C403" s="42" t="n"/>
      <c r="D403" s="29">
        <f>IF($B403="","",IFERROR(INDEX(機種マスタ!$A$4:$A$203,MATCH($B403,機種マスタ!$B$4:$B$203,0)),"未登録"))</f>
        <v/>
      </c>
      <c r="E403" s="29">
        <f>IF($B403="","",IFERROR(INDEX(機種マスタ!$C$4:$C$203,MATCH($B403,機種マスタ!$B$4:$B$203,0)),"-"))</f>
        <v/>
      </c>
      <c r="F403" s="29">
        <f>IF($B403="","",IFERROR(N(INDEX(機種マスタ!$D$4:$D$203,MATCH($B403,機種マスタ!$B$4:$B$203,0))),0))</f>
        <v/>
      </c>
      <c r="G403" s="29">
        <f>IF($B403="","",IF($C403="",1,$C403))</f>
        <v/>
      </c>
      <c r="H403" s="29">
        <f>IF($B403="","",F403*G403)</f>
        <v/>
      </c>
    </row>
    <row r="404">
      <c r="A404" s="40" t="n"/>
      <c r="B404" s="41" t="n"/>
      <c r="C404" s="42" t="n"/>
      <c r="D404" s="29">
        <f>IF($B404="","",IFERROR(INDEX(機種マスタ!$A$4:$A$203,MATCH($B404,機種マスタ!$B$4:$B$203,0)),"未登録"))</f>
        <v/>
      </c>
      <c r="E404" s="29">
        <f>IF($B404="","",IFERROR(INDEX(機種マスタ!$C$4:$C$203,MATCH($B404,機種マスタ!$B$4:$B$203,0)),"-"))</f>
        <v/>
      </c>
      <c r="F404" s="29">
        <f>IF($B404="","",IFERROR(N(INDEX(機種マスタ!$D$4:$D$203,MATCH($B404,機種マスタ!$B$4:$B$203,0))),0))</f>
        <v/>
      </c>
      <c r="G404" s="29">
        <f>IF($B404="","",IF($C404="",1,$C404))</f>
        <v/>
      </c>
      <c r="H404" s="29">
        <f>IF($B404="","",F404*G404)</f>
        <v/>
      </c>
    </row>
    <row r="405">
      <c r="A405" s="40" t="n"/>
      <c r="B405" s="41" t="n"/>
      <c r="C405" s="42" t="n"/>
      <c r="D405" s="29">
        <f>IF($B405="","",IFERROR(INDEX(機種マスタ!$A$4:$A$203,MATCH($B405,機種マスタ!$B$4:$B$203,0)),"未登録"))</f>
        <v/>
      </c>
      <c r="E405" s="29">
        <f>IF($B405="","",IFERROR(INDEX(機種マスタ!$C$4:$C$203,MATCH($B405,機種マスタ!$B$4:$B$203,0)),"-"))</f>
        <v/>
      </c>
      <c r="F405" s="29">
        <f>IF($B405="","",IFERROR(N(INDEX(機種マスタ!$D$4:$D$203,MATCH($B405,機種マスタ!$B$4:$B$203,0))),0))</f>
        <v/>
      </c>
      <c r="G405" s="29">
        <f>IF($B405="","",IF($C405="",1,$C405))</f>
        <v/>
      </c>
      <c r="H405" s="29">
        <f>IF($B405="","",F405*G405)</f>
        <v/>
      </c>
    </row>
    <row r="406">
      <c r="A406" s="40" t="n"/>
      <c r="B406" s="41" t="n"/>
      <c r="C406" s="42" t="n"/>
      <c r="D406" s="29">
        <f>IF($B406="","",IFERROR(INDEX(機種マスタ!$A$4:$A$203,MATCH($B406,機種マスタ!$B$4:$B$203,0)),"未登録"))</f>
        <v/>
      </c>
      <c r="E406" s="29">
        <f>IF($B406="","",IFERROR(INDEX(機種マスタ!$C$4:$C$203,MATCH($B406,機種マスタ!$B$4:$B$203,0)),"-"))</f>
        <v/>
      </c>
      <c r="F406" s="29">
        <f>IF($B406="","",IFERROR(N(INDEX(機種マスタ!$D$4:$D$203,MATCH($B406,機種マスタ!$B$4:$B$203,0))),0))</f>
        <v/>
      </c>
      <c r="G406" s="29">
        <f>IF($B406="","",IF($C406="",1,$C406))</f>
        <v/>
      </c>
      <c r="H406" s="29">
        <f>IF($B406="","",F406*G406)</f>
        <v/>
      </c>
    </row>
    <row r="407">
      <c r="A407" s="40" t="n"/>
      <c r="B407" s="41" t="n"/>
      <c r="C407" s="42" t="n"/>
      <c r="D407" s="29">
        <f>IF($B407="","",IFERROR(INDEX(機種マスタ!$A$4:$A$203,MATCH($B407,機種マスタ!$B$4:$B$203,0)),"未登録"))</f>
        <v/>
      </c>
      <c r="E407" s="29">
        <f>IF($B407="","",IFERROR(INDEX(機種マスタ!$C$4:$C$203,MATCH($B407,機種マスタ!$B$4:$B$203,0)),"-"))</f>
        <v/>
      </c>
      <c r="F407" s="29">
        <f>IF($B407="","",IFERROR(N(INDEX(機種マスタ!$D$4:$D$203,MATCH($B407,機種マスタ!$B$4:$B$203,0))),0))</f>
        <v/>
      </c>
      <c r="G407" s="29">
        <f>IF($B407="","",IF($C407="",1,$C407))</f>
        <v/>
      </c>
      <c r="H407" s="29">
        <f>IF($B407="","",F407*G407)</f>
        <v/>
      </c>
    </row>
    <row r="408">
      <c r="A408" s="40" t="n"/>
      <c r="B408" s="41" t="n"/>
      <c r="C408" s="42" t="n"/>
      <c r="D408" s="29">
        <f>IF($B408="","",IFERROR(INDEX(機種マスタ!$A$4:$A$203,MATCH($B408,機種マスタ!$B$4:$B$203,0)),"未登録"))</f>
        <v/>
      </c>
      <c r="E408" s="29">
        <f>IF($B408="","",IFERROR(INDEX(機種マスタ!$C$4:$C$203,MATCH($B408,機種マスタ!$B$4:$B$203,0)),"-"))</f>
        <v/>
      </c>
      <c r="F408" s="29">
        <f>IF($B408="","",IFERROR(N(INDEX(機種マスタ!$D$4:$D$203,MATCH($B408,機種マスタ!$B$4:$B$203,0))),0))</f>
        <v/>
      </c>
      <c r="G408" s="29">
        <f>IF($B408="","",IF($C408="",1,$C408))</f>
        <v/>
      </c>
      <c r="H408" s="29">
        <f>IF($B408="","",F408*G408)</f>
        <v/>
      </c>
    </row>
    <row r="409">
      <c r="A409" s="40" t="n"/>
      <c r="B409" s="41" t="n"/>
      <c r="C409" s="42" t="n"/>
      <c r="D409" s="29">
        <f>IF($B409="","",IFERROR(INDEX(機種マスタ!$A$4:$A$203,MATCH($B409,機種マスタ!$B$4:$B$203,0)),"未登録"))</f>
        <v/>
      </c>
      <c r="E409" s="29">
        <f>IF($B409="","",IFERROR(INDEX(機種マスタ!$C$4:$C$203,MATCH($B409,機種マスタ!$B$4:$B$203,0)),"-"))</f>
        <v/>
      </c>
      <c r="F409" s="29">
        <f>IF($B409="","",IFERROR(N(INDEX(機種マスタ!$D$4:$D$203,MATCH($B409,機種マスタ!$B$4:$B$203,0))),0))</f>
        <v/>
      </c>
      <c r="G409" s="29">
        <f>IF($B409="","",IF($C409="",1,$C409))</f>
        <v/>
      </c>
      <c r="H409" s="29">
        <f>IF($B409="","",F409*G409)</f>
        <v/>
      </c>
    </row>
    <row r="410">
      <c r="A410" s="40" t="n"/>
      <c r="B410" s="41" t="n"/>
      <c r="C410" s="42" t="n"/>
      <c r="D410" s="29">
        <f>IF($B410="","",IFERROR(INDEX(機種マスタ!$A$4:$A$203,MATCH($B410,機種マスタ!$B$4:$B$203,0)),"未登録"))</f>
        <v/>
      </c>
      <c r="E410" s="29">
        <f>IF($B410="","",IFERROR(INDEX(機種マスタ!$C$4:$C$203,MATCH($B410,機種マスタ!$B$4:$B$203,0)),"-"))</f>
        <v/>
      </c>
      <c r="F410" s="29">
        <f>IF($B410="","",IFERROR(N(INDEX(機種マスタ!$D$4:$D$203,MATCH($B410,機種マスタ!$B$4:$B$203,0))),0))</f>
        <v/>
      </c>
      <c r="G410" s="29">
        <f>IF($B410="","",IF($C410="",1,$C410))</f>
        <v/>
      </c>
      <c r="H410" s="29">
        <f>IF($B410="","",F410*G410)</f>
        <v/>
      </c>
    </row>
    <row r="411">
      <c r="A411" s="40" t="n"/>
      <c r="B411" s="41" t="n"/>
      <c r="C411" s="42" t="n"/>
      <c r="D411" s="29">
        <f>IF($B411="","",IFERROR(INDEX(機種マスタ!$A$4:$A$203,MATCH($B411,機種マスタ!$B$4:$B$203,0)),"未登録"))</f>
        <v/>
      </c>
      <c r="E411" s="29">
        <f>IF($B411="","",IFERROR(INDEX(機種マスタ!$C$4:$C$203,MATCH($B411,機種マスタ!$B$4:$B$203,0)),"-"))</f>
        <v/>
      </c>
      <c r="F411" s="29">
        <f>IF($B411="","",IFERROR(N(INDEX(機種マスタ!$D$4:$D$203,MATCH($B411,機種マスタ!$B$4:$B$203,0))),0))</f>
        <v/>
      </c>
      <c r="G411" s="29">
        <f>IF($B411="","",IF($C411="",1,$C411))</f>
        <v/>
      </c>
      <c r="H411" s="29">
        <f>IF($B411="","",F411*G411)</f>
        <v/>
      </c>
    </row>
    <row r="412">
      <c r="A412" s="40" t="n"/>
      <c r="B412" s="41" t="n"/>
      <c r="C412" s="42" t="n"/>
      <c r="D412" s="29">
        <f>IF($B412="","",IFERROR(INDEX(機種マスタ!$A$4:$A$203,MATCH($B412,機種マスタ!$B$4:$B$203,0)),"未登録"))</f>
        <v/>
      </c>
      <c r="E412" s="29">
        <f>IF($B412="","",IFERROR(INDEX(機種マスタ!$C$4:$C$203,MATCH($B412,機種マスタ!$B$4:$B$203,0)),"-"))</f>
        <v/>
      </c>
      <c r="F412" s="29">
        <f>IF($B412="","",IFERROR(N(INDEX(機種マスタ!$D$4:$D$203,MATCH($B412,機種マスタ!$B$4:$B$203,0))),0))</f>
        <v/>
      </c>
      <c r="G412" s="29">
        <f>IF($B412="","",IF($C412="",1,$C412))</f>
        <v/>
      </c>
      <c r="H412" s="29">
        <f>IF($B412="","",F412*G412)</f>
        <v/>
      </c>
    </row>
    <row r="413">
      <c r="A413" s="40" t="n"/>
      <c r="B413" s="41" t="n"/>
      <c r="C413" s="42" t="n"/>
      <c r="D413" s="29">
        <f>IF($B413="","",IFERROR(INDEX(機種マスタ!$A$4:$A$203,MATCH($B413,機種マスタ!$B$4:$B$203,0)),"未登録"))</f>
        <v/>
      </c>
      <c r="E413" s="29">
        <f>IF($B413="","",IFERROR(INDEX(機種マスタ!$C$4:$C$203,MATCH($B413,機種マスタ!$B$4:$B$203,0)),"-"))</f>
        <v/>
      </c>
      <c r="F413" s="29">
        <f>IF($B413="","",IFERROR(N(INDEX(機種マスタ!$D$4:$D$203,MATCH($B413,機種マスタ!$B$4:$B$203,0))),0))</f>
        <v/>
      </c>
      <c r="G413" s="29">
        <f>IF($B413="","",IF($C413="",1,$C413))</f>
        <v/>
      </c>
      <c r="H413" s="29">
        <f>IF($B413="","",F413*G413)</f>
        <v/>
      </c>
    </row>
    <row r="414">
      <c r="A414" s="40" t="n"/>
      <c r="B414" s="41" t="n"/>
      <c r="C414" s="42" t="n"/>
      <c r="D414" s="29">
        <f>IF($B414="","",IFERROR(INDEX(機種マスタ!$A$4:$A$203,MATCH($B414,機種マスタ!$B$4:$B$203,0)),"未登録"))</f>
        <v/>
      </c>
      <c r="E414" s="29">
        <f>IF($B414="","",IFERROR(INDEX(機種マスタ!$C$4:$C$203,MATCH($B414,機種マスタ!$B$4:$B$203,0)),"-"))</f>
        <v/>
      </c>
      <c r="F414" s="29">
        <f>IF($B414="","",IFERROR(N(INDEX(機種マスタ!$D$4:$D$203,MATCH($B414,機種マスタ!$B$4:$B$203,0))),0))</f>
        <v/>
      </c>
      <c r="G414" s="29">
        <f>IF($B414="","",IF($C414="",1,$C414))</f>
        <v/>
      </c>
      <c r="H414" s="29">
        <f>IF($B414="","",F414*G414)</f>
        <v/>
      </c>
    </row>
    <row r="415">
      <c r="A415" s="40" t="n"/>
      <c r="B415" s="41" t="n"/>
      <c r="C415" s="42" t="n"/>
      <c r="D415" s="29">
        <f>IF($B415="","",IFERROR(INDEX(機種マスタ!$A$4:$A$203,MATCH($B415,機種マスタ!$B$4:$B$203,0)),"未登録"))</f>
        <v/>
      </c>
      <c r="E415" s="29">
        <f>IF($B415="","",IFERROR(INDEX(機種マスタ!$C$4:$C$203,MATCH($B415,機種マスタ!$B$4:$B$203,0)),"-"))</f>
        <v/>
      </c>
      <c r="F415" s="29">
        <f>IF($B415="","",IFERROR(N(INDEX(機種マスタ!$D$4:$D$203,MATCH($B415,機種マスタ!$B$4:$B$203,0))),0))</f>
        <v/>
      </c>
      <c r="G415" s="29">
        <f>IF($B415="","",IF($C415="",1,$C415))</f>
        <v/>
      </c>
      <c r="H415" s="29">
        <f>IF($B415="","",F415*G415)</f>
        <v/>
      </c>
    </row>
    <row r="416">
      <c r="A416" s="40" t="n"/>
      <c r="B416" s="41" t="n"/>
      <c r="C416" s="42" t="n"/>
      <c r="D416" s="29">
        <f>IF($B416="","",IFERROR(INDEX(機種マスタ!$A$4:$A$203,MATCH($B416,機種マスタ!$B$4:$B$203,0)),"未登録"))</f>
        <v/>
      </c>
      <c r="E416" s="29">
        <f>IF($B416="","",IFERROR(INDEX(機種マスタ!$C$4:$C$203,MATCH($B416,機種マスタ!$B$4:$B$203,0)),"-"))</f>
        <v/>
      </c>
      <c r="F416" s="29">
        <f>IF($B416="","",IFERROR(N(INDEX(機種マスタ!$D$4:$D$203,MATCH($B416,機種マスタ!$B$4:$B$203,0))),0))</f>
        <v/>
      </c>
      <c r="G416" s="29">
        <f>IF($B416="","",IF($C416="",1,$C416))</f>
        <v/>
      </c>
      <c r="H416" s="29">
        <f>IF($B416="","",F416*G416)</f>
        <v/>
      </c>
    </row>
    <row r="417">
      <c r="A417" s="40" t="n"/>
      <c r="B417" s="41" t="n"/>
      <c r="C417" s="42" t="n"/>
      <c r="D417" s="29">
        <f>IF($B417="","",IFERROR(INDEX(機種マスタ!$A$4:$A$203,MATCH($B417,機種マスタ!$B$4:$B$203,0)),"未登録"))</f>
        <v/>
      </c>
      <c r="E417" s="29">
        <f>IF($B417="","",IFERROR(INDEX(機種マスタ!$C$4:$C$203,MATCH($B417,機種マスタ!$B$4:$B$203,0)),"-"))</f>
        <v/>
      </c>
      <c r="F417" s="29">
        <f>IF($B417="","",IFERROR(N(INDEX(機種マスタ!$D$4:$D$203,MATCH($B417,機種マスタ!$B$4:$B$203,0))),0))</f>
        <v/>
      </c>
      <c r="G417" s="29">
        <f>IF($B417="","",IF($C417="",1,$C417))</f>
        <v/>
      </c>
      <c r="H417" s="29">
        <f>IF($B417="","",F417*G417)</f>
        <v/>
      </c>
    </row>
    <row r="418">
      <c r="A418" s="40" t="n"/>
      <c r="B418" s="41" t="n"/>
      <c r="C418" s="42" t="n"/>
      <c r="D418" s="29">
        <f>IF($B418="","",IFERROR(INDEX(機種マスタ!$A$4:$A$203,MATCH($B418,機種マスタ!$B$4:$B$203,0)),"未登録"))</f>
        <v/>
      </c>
      <c r="E418" s="29">
        <f>IF($B418="","",IFERROR(INDEX(機種マスタ!$C$4:$C$203,MATCH($B418,機種マスタ!$B$4:$B$203,0)),"-"))</f>
        <v/>
      </c>
      <c r="F418" s="29">
        <f>IF($B418="","",IFERROR(N(INDEX(機種マスタ!$D$4:$D$203,MATCH($B418,機種マスタ!$B$4:$B$203,0))),0))</f>
        <v/>
      </c>
      <c r="G418" s="29">
        <f>IF($B418="","",IF($C418="",1,$C418))</f>
        <v/>
      </c>
      <c r="H418" s="29">
        <f>IF($B418="","",F418*G418)</f>
        <v/>
      </c>
    </row>
    <row r="419">
      <c r="A419" s="40" t="n"/>
      <c r="B419" s="41" t="n"/>
      <c r="C419" s="42" t="n"/>
      <c r="D419" s="29">
        <f>IF($B419="","",IFERROR(INDEX(機種マスタ!$A$4:$A$203,MATCH($B419,機種マスタ!$B$4:$B$203,0)),"未登録"))</f>
        <v/>
      </c>
      <c r="E419" s="29">
        <f>IF($B419="","",IFERROR(INDEX(機種マスタ!$C$4:$C$203,MATCH($B419,機種マスタ!$B$4:$B$203,0)),"-"))</f>
        <v/>
      </c>
      <c r="F419" s="29">
        <f>IF($B419="","",IFERROR(N(INDEX(機種マスタ!$D$4:$D$203,MATCH($B419,機種マスタ!$B$4:$B$203,0))),0))</f>
        <v/>
      </c>
      <c r="G419" s="29">
        <f>IF($B419="","",IF($C419="",1,$C419))</f>
        <v/>
      </c>
      <c r="H419" s="29">
        <f>IF($B419="","",F419*G419)</f>
        <v/>
      </c>
    </row>
    <row r="420">
      <c r="A420" s="40" t="n"/>
      <c r="B420" s="41" t="n"/>
      <c r="C420" s="42" t="n"/>
      <c r="D420" s="29">
        <f>IF($B420="","",IFERROR(INDEX(機種マスタ!$A$4:$A$203,MATCH($B420,機種マスタ!$B$4:$B$203,0)),"未登録"))</f>
        <v/>
      </c>
      <c r="E420" s="29">
        <f>IF($B420="","",IFERROR(INDEX(機種マスタ!$C$4:$C$203,MATCH($B420,機種マスタ!$B$4:$B$203,0)),"-"))</f>
        <v/>
      </c>
      <c r="F420" s="29">
        <f>IF($B420="","",IFERROR(N(INDEX(機種マスタ!$D$4:$D$203,MATCH($B420,機種マスタ!$B$4:$B$203,0))),0))</f>
        <v/>
      </c>
      <c r="G420" s="29">
        <f>IF($B420="","",IF($C420="",1,$C420))</f>
        <v/>
      </c>
      <c r="H420" s="29">
        <f>IF($B420="","",F420*G420)</f>
        <v/>
      </c>
    </row>
    <row r="421">
      <c r="A421" s="40" t="n"/>
      <c r="B421" s="41" t="n"/>
      <c r="C421" s="42" t="n"/>
      <c r="D421" s="29">
        <f>IF($B421="","",IFERROR(INDEX(機種マスタ!$A$4:$A$203,MATCH($B421,機種マスタ!$B$4:$B$203,0)),"未登録"))</f>
        <v/>
      </c>
      <c r="E421" s="29">
        <f>IF($B421="","",IFERROR(INDEX(機種マスタ!$C$4:$C$203,MATCH($B421,機種マスタ!$B$4:$B$203,0)),"-"))</f>
        <v/>
      </c>
      <c r="F421" s="29">
        <f>IF($B421="","",IFERROR(N(INDEX(機種マスタ!$D$4:$D$203,MATCH($B421,機種マスタ!$B$4:$B$203,0))),0))</f>
        <v/>
      </c>
      <c r="G421" s="29">
        <f>IF($B421="","",IF($C421="",1,$C421))</f>
        <v/>
      </c>
      <c r="H421" s="29">
        <f>IF($B421="","",F421*G421)</f>
        <v/>
      </c>
    </row>
    <row r="422">
      <c r="A422" s="40" t="n"/>
      <c r="B422" s="41" t="n"/>
      <c r="C422" s="42" t="n"/>
      <c r="D422" s="29">
        <f>IF($B422="","",IFERROR(INDEX(機種マスタ!$A$4:$A$203,MATCH($B422,機種マスタ!$B$4:$B$203,0)),"未登録"))</f>
        <v/>
      </c>
      <c r="E422" s="29">
        <f>IF($B422="","",IFERROR(INDEX(機種マスタ!$C$4:$C$203,MATCH($B422,機種マスタ!$B$4:$B$203,0)),"-"))</f>
        <v/>
      </c>
      <c r="F422" s="29">
        <f>IF($B422="","",IFERROR(N(INDEX(機種マスタ!$D$4:$D$203,MATCH($B422,機種マスタ!$B$4:$B$203,0))),0))</f>
        <v/>
      </c>
      <c r="G422" s="29">
        <f>IF($B422="","",IF($C422="",1,$C422))</f>
        <v/>
      </c>
      <c r="H422" s="29">
        <f>IF($B422="","",F422*G422)</f>
        <v/>
      </c>
    </row>
    <row r="423">
      <c r="A423" s="40" t="n"/>
      <c r="B423" s="41" t="n"/>
      <c r="C423" s="42" t="n"/>
      <c r="D423" s="29">
        <f>IF($B423="","",IFERROR(INDEX(機種マスタ!$A$4:$A$203,MATCH($B423,機種マスタ!$B$4:$B$203,0)),"未登録"))</f>
        <v/>
      </c>
      <c r="E423" s="29">
        <f>IF($B423="","",IFERROR(INDEX(機種マスタ!$C$4:$C$203,MATCH($B423,機種マスタ!$B$4:$B$203,0)),"-"))</f>
        <v/>
      </c>
      <c r="F423" s="29">
        <f>IF($B423="","",IFERROR(N(INDEX(機種マスタ!$D$4:$D$203,MATCH($B423,機種マスタ!$B$4:$B$203,0))),0))</f>
        <v/>
      </c>
      <c r="G423" s="29">
        <f>IF($B423="","",IF($C423="",1,$C423))</f>
        <v/>
      </c>
      <c r="H423" s="29">
        <f>IF($B423="","",F423*G423)</f>
        <v/>
      </c>
    </row>
    <row r="424">
      <c r="A424" s="40" t="n"/>
      <c r="B424" s="41" t="n"/>
      <c r="C424" s="42" t="n"/>
      <c r="D424" s="29">
        <f>IF($B424="","",IFERROR(INDEX(機種マスタ!$A$4:$A$203,MATCH($B424,機種マスタ!$B$4:$B$203,0)),"未登録"))</f>
        <v/>
      </c>
      <c r="E424" s="29">
        <f>IF($B424="","",IFERROR(INDEX(機種マスタ!$C$4:$C$203,MATCH($B424,機種マスタ!$B$4:$B$203,0)),"-"))</f>
        <v/>
      </c>
      <c r="F424" s="29">
        <f>IF($B424="","",IFERROR(N(INDEX(機種マスタ!$D$4:$D$203,MATCH($B424,機種マスタ!$B$4:$B$203,0))),0))</f>
        <v/>
      </c>
      <c r="G424" s="29">
        <f>IF($B424="","",IF($C424="",1,$C424))</f>
        <v/>
      </c>
      <c r="H424" s="29">
        <f>IF($B424="","",F424*G424)</f>
        <v/>
      </c>
    </row>
    <row r="425">
      <c r="A425" s="40" t="n"/>
      <c r="B425" s="41" t="n"/>
      <c r="C425" s="42" t="n"/>
      <c r="D425" s="29">
        <f>IF($B425="","",IFERROR(INDEX(機種マスタ!$A$4:$A$203,MATCH($B425,機種マスタ!$B$4:$B$203,0)),"未登録"))</f>
        <v/>
      </c>
      <c r="E425" s="29">
        <f>IF($B425="","",IFERROR(INDEX(機種マスタ!$C$4:$C$203,MATCH($B425,機種マスタ!$B$4:$B$203,0)),"-"))</f>
        <v/>
      </c>
      <c r="F425" s="29">
        <f>IF($B425="","",IFERROR(N(INDEX(機種マスタ!$D$4:$D$203,MATCH($B425,機種マスタ!$B$4:$B$203,0))),0))</f>
        <v/>
      </c>
      <c r="G425" s="29">
        <f>IF($B425="","",IF($C425="",1,$C425))</f>
        <v/>
      </c>
      <c r="H425" s="29">
        <f>IF($B425="","",F425*G425)</f>
        <v/>
      </c>
    </row>
    <row r="426">
      <c r="A426" s="40" t="n"/>
      <c r="B426" s="41" t="n"/>
      <c r="C426" s="42" t="n"/>
      <c r="D426" s="29">
        <f>IF($B426="","",IFERROR(INDEX(機種マスタ!$A$4:$A$203,MATCH($B426,機種マスタ!$B$4:$B$203,0)),"未登録"))</f>
        <v/>
      </c>
      <c r="E426" s="29">
        <f>IF($B426="","",IFERROR(INDEX(機種マスタ!$C$4:$C$203,MATCH($B426,機種マスタ!$B$4:$B$203,0)),"-"))</f>
        <v/>
      </c>
      <c r="F426" s="29">
        <f>IF($B426="","",IFERROR(N(INDEX(機種マスタ!$D$4:$D$203,MATCH($B426,機種マスタ!$B$4:$B$203,0))),0))</f>
        <v/>
      </c>
      <c r="G426" s="29">
        <f>IF($B426="","",IF($C426="",1,$C426))</f>
        <v/>
      </c>
      <c r="H426" s="29">
        <f>IF($B426="","",F426*G426)</f>
        <v/>
      </c>
    </row>
    <row r="427">
      <c r="A427" s="40" t="n"/>
      <c r="B427" s="41" t="n"/>
      <c r="C427" s="42" t="n"/>
      <c r="D427" s="29">
        <f>IF($B427="","",IFERROR(INDEX(機種マスタ!$A$4:$A$203,MATCH($B427,機種マスタ!$B$4:$B$203,0)),"未登録"))</f>
        <v/>
      </c>
      <c r="E427" s="29">
        <f>IF($B427="","",IFERROR(INDEX(機種マスタ!$C$4:$C$203,MATCH($B427,機種マスタ!$B$4:$B$203,0)),"-"))</f>
        <v/>
      </c>
      <c r="F427" s="29">
        <f>IF($B427="","",IFERROR(N(INDEX(機種マスタ!$D$4:$D$203,MATCH($B427,機種マスタ!$B$4:$B$203,0))),0))</f>
        <v/>
      </c>
      <c r="G427" s="29">
        <f>IF($B427="","",IF($C427="",1,$C427))</f>
        <v/>
      </c>
      <c r="H427" s="29">
        <f>IF($B427="","",F427*G427)</f>
        <v/>
      </c>
    </row>
    <row r="428">
      <c r="A428" s="40" t="n"/>
      <c r="B428" s="41" t="n"/>
      <c r="C428" s="42" t="n"/>
      <c r="D428" s="29">
        <f>IF($B428="","",IFERROR(INDEX(機種マスタ!$A$4:$A$203,MATCH($B428,機種マスタ!$B$4:$B$203,0)),"未登録"))</f>
        <v/>
      </c>
      <c r="E428" s="29">
        <f>IF($B428="","",IFERROR(INDEX(機種マスタ!$C$4:$C$203,MATCH($B428,機種マスタ!$B$4:$B$203,0)),"-"))</f>
        <v/>
      </c>
      <c r="F428" s="29">
        <f>IF($B428="","",IFERROR(N(INDEX(機種マスタ!$D$4:$D$203,MATCH($B428,機種マスタ!$B$4:$B$203,0))),0))</f>
        <v/>
      </c>
      <c r="G428" s="29">
        <f>IF($B428="","",IF($C428="",1,$C428))</f>
        <v/>
      </c>
      <c r="H428" s="29">
        <f>IF($B428="","",F428*G428)</f>
        <v/>
      </c>
    </row>
    <row r="429">
      <c r="A429" s="40" t="n"/>
      <c r="B429" s="41" t="n"/>
      <c r="C429" s="42" t="n"/>
      <c r="D429" s="29">
        <f>IF($B429="","",IFERROR(INDEX(機種マスタ!$A$4:$A$203,MATCH($B429,機種マスタ!$B$4:$B$203,0)),"未登録"))</f>
        <v/>
      </c>
      <c r="E429" s="29">
        <f>IF($B429="","",IFERROR(INDEX(機種マスタ!$C$4:$C$203,MATCH($B429,機種マスタ!$B$4:$B$203,0)),"-"))</f>
        <v/>
      </c>
      <c r="F429" s="29">
        <f>IF($B429="","",IFERROR(N(INDEX(機種マスタ!$D$4:$D$203,MATCH($B429,機種マスタ!$B$4:$B$203,0))),0))</f>
        <v/>
      </c>
      <c r="G429" s="29">
        <f>IF($B429="","",IF($C429="",1,$C429))</f>
        <v/>
      </c>
      <c r="H429" s="29">
        <f>IF($B429="","",F429*G429)</f>
        <v/>
      </c>
    </row>
    <row r="430">
      <c r="A430" s="40" t="n"/>
      <c r="B430" s="41" t="n"/>
      <c r="C430" s="42" t="n"/>
      <c r="D430" s="29">
        <f>IF($B430="","",IFERROR(INDEX(機種マスタ!$A$4:$A$203,MATCH($B430,機種マスタ!$B$4:$B$203,0)),"未登録"))</f>
        <v/>
      </c>
      <c r="E430" s="29">
        <f>IF($B430="","",IFERROR(INDEX(機種マスタ!$C$4:$C$203,MATCH($B430,機種マスタ!$B$4:$B$203,0)),"-"))</f>
        <v/>
      </c>
      <c r="F430" s="29">
        <f>IF($B430="","",IFERROR(N(INDEX(機種マスタ!$D$4:$D$203,MATCH($B430,機種マスタ!$B$4:$B$203,0))),0))</f>
        <v/>
      </c>
      <c r="G430" s="29">
        <f>IF($B430="","",IF($C430="",1,$C430))</f>
        <v/>
      </c>
      <c r="H430" s="29">
        <f>IF($B430="","",F430*G430)</f>
        <v/>
      </c>
    </row>
    <row r="431">
      <c r="A431" s="40" t="n"/>
      <c r="B431" s="41" t="n"/>
      <c r="C431" s="42" t="n"/>
      <c r="D431" s="29">
        <f>IF($B431="","",IFERROR(INDEX(機種マスタ!$A$4:$A$203,MATCH($B431,機種マスタ!$B$4:$B$203,0)),"未登録"))</f>
        <v/>
      </c>
      <c r="E431" s="29">
        <f>IF($B431="","",IFERROR(INDEX(機種マスタ!$C$4:$C$203,MATCH($B431,機種マスタ!$B$4:$B$203,0)),"-"))</f>
        <v/>
      </c>
      <c r="F431" s="29">
        <f>IF($B431="","",IFERROR(N(INDEX(機種マスタ!$D$4:$D$203,MATCH($B431,機種マスタ!$B$4:$B$203,0))),0))</f>
        <v/>
      </c>
      <c r="G431" s="29">
        <f>IF($B431="","",IF($C431="",1,$C431))</f>
        <v/>
      </c>
      <c r="H431" s="29">
        <f>IF($B431="","",F431*G431)</f>
        <v/>
      </c>
    </row>
    <row r="432">
      <c r="A432" s="40" t="n"/>
      <c r="B432" s="41" t="n"/>
      <c r="C432" s="42" t="n"/>
      <c r="D432" s="29">
        <f>IF($B432="","",IFERROR(INDEX(機種マスタ!$A$4:$A$203,MATCH($B432,機種マスタ!$B$4:$B$203,0)),"未登録"))</f>
        <v/>
      </c>
      <c r="E432" s="29">
        <f>IF($B432="","",IFERROR(INDEX(機種マスタ!$C$4:$C$203,MATCH($B432,機種マスタ!$B$4:$B$203,0)),"-"))</f>
        <v/>
      </c>
      <c r="F432" s="29">
        <f>IF($B432="","",IFERROR(N(INDEX(機種マスタ!$D$4:$D$203,MATCH($B432,機種マスタ!$B$4:$B$203,0))),0))</f>
        <v/>
      </c>
      <c r="G432" s="29">
        <f>IF($B432="","",IF($C432="",1,$C432))</f>
        <v/>
      </c>
      <c r="H432" s="29">
        <f>IF($B432="","",F432*G432)</f>
        <v/>
      </c>
    </row>
    <row r="433">
      <c r="A433" s="40" t="n"/>
      <c r="B433" s="41" t="n"/>
      <c r="C433" s="42" t="n"/>
      <c r="D433" s="29">
        <f>IF($B433="","",IFERROR(INDEX(機種マスタ!$A$4:$A$203,MATCH($B433,機種マスタ!$B$4:$B$203,0)),"未登録"))</f>
        <v/>
      </c>
      <c r="E433" s="29">
        <f>IF($B433="","",IFERROR(INDEX(機種マスタ!$C$4:$C$203,MATCH($B433,機種マスタ!$B$4:$B$203,0)),"-"))</f>
        <v/>
      </c>
      <c r="F433" s="29">
        <f>IF($B433="","",IFERROR(N(INDEX(機種マスタ!$D$4:$D$203,MATCH($B433,機種マスタ!$B$4:$B$203,0))),0))</f>
        <v/>
      </c>
      <c r="G433" s="29">
        <f>IF($B433="","",IF($C433="",1,$C433))</f>
        <v/>
      </c>
      <c r="H433" s="29">
        <f>IF($B433="","",F433*G433)</f>
        <v/>
      </c>
    </row>
    <row r="434">
      <c r="A434" s="40" t="n"/>
      <c r="B434" s="41" t="n"/>
      <c r="C434" s="42" t="n"/>
      <c r="D434" s="29">
        <f>IF($B434="","",IFERROR(INDEX(機種マスタ!$A$4:$A$203,MATCH($B434,機種マスタ!$B$4:$B$203,0)),"未登録"))</f>
        <v/>
      </c>
      <c r="E434" s="29">
        <f>IF($B434="","",IFERROR(INDEX(機種マスタ!$C$4:$C$203,MATCH($B434,機種マスタ!$B$4:$B$203,0)),"-"))</f>
        <v/>
      </c>
      <c r="F434" s="29">
        <f>IF($B434="","",IFERROR(N(INDEX(機種マスタ!$D$4:$D$203,MATCH($B434,機種マスタ!$B$4:$B$203,0))),0))</f>
        <v/>
      </c>
      <c r="G434" s="29">
        <f>IF($B434="","",IF($C434="",1,$C434))</f>
        <v/>
      </c>
      <c r="H434" s="29">
        <f>IF($B434="","",F434*G434)</f>
        <v/>
      </c>
    </row>
    <row r="435">
      <c r="A435" s="40" t="n"/>
      <c r="B435" s="41" t="n"/>
      <c r="C435" s="42" t="n"/>
      <c r="D435" s="29">
        <f>IF($B435="","",IFERROR(INDEX(機種マスタ!$A$4:$A$203,MATCH($B435,機種マスタ!$B$4:$B$203,0)),"未登録"))</f>
        <v/>
      </c>
      <c r="E435" s="29">
        <f>IF($B435="","",IFERROR(INDEX(機種マスタ!$C$4:$C$203,MATCH($B435,機種マスタ!$B$4:$B$203,0)),"-"))</f>
        <v/>
      </c>
      <c r="F435" s="29">
        <f>IF($B435="","",IFERROR(N(INDEX(機種マスタ!$D$4:$D$203,MATCH($B435,機種マスタ!$B$4:$B$203,0))),0))</f>
        <v/>
      </c>
      <c r="G435" s="29">
        <f>IF($B435="","",IF($C435="",1,$C435))</f>
        <v/>
      </c>
      <c r="H435" s="29">
        <f>IF($B435="","",F435*G435)</f>
        <v/>
      </c>
    </row>
    <row r="436">
      <c r="A436" s="40" t="n"/>
      <c r="B436" s="41" t="n"/>
      <c r="C436" s="42" t="n"/>
      <c r="D436" s="29">
        <f>IF($B436="","",IFERROR(INDEX(機種マスタ!$A$4:$A$203,MATCH($B436,機種マスタ!$B$4:$B$203,0)),"未登録"))</f>
        <v/>
      </c>
      <c r="E436" s="29">
        <f>IF($B436="","",IFERROR(INDEX(機種マスタ!$C$4:$C$203,MATCH($B436,機種マスタ!$B$4:$B$203,0)),"-"))</f>
        <v/>
      </c>
      <c r="F436" s="29">
        <f>IF($B436="","",IFERROR(N(INDEX(機種マスタ!$D$4:$D$203,MATCH($B436,機種マスタ!$B$4:$B$203,0))),0))</f>
        <v/>
      </c>
      <c r="G436" s="29">
        <f>IF($B436="","",IF($C436="",1,$C436))</f>
        <v/>
      </c>
      <c r="H436" s="29">
        <f>IF($B436="","",F436*G436)</f>
        <v/>
      </c>
    </row>
    <row r="437">
      <c r="A437" s="40" t="n"/>
      <c r="B437" s="41" t="n"/>
      <c r="C437" s="42" t="n"/>
      <c r="D437" s="29">
        <f>IF($B437="","",IFERROR(INDEX(機種マスタ!$A$4:$A$203,MATCH($B437,機種マスタ!$B$4:$B$203,0)),"未登録"))</f>
        <v/>
      </c>
      <c r="E437" s="29">
        <f>IF($B437="","",IFERROR(INDEX(機種マスタ!$C$4:$C$203,MATCH($B437,機種マスタ!$B$4:$B$203,0)),"-"))</f>
        <v/>
      </c>
      <c r="F437" s="29">
        <f>IF($B437="","",IFERROR(N(INDEX(機種マスタ!$D$4:$D$203,MATCH($B437,機種マスタ!$B$4:$B$203,0))),0))</f>
        <v/>
      </c>
      <c r="G437" s="29">
        <f>IF($B437="","",IF($C437="",1,$C437))</f>
        <v/>
      </c>
      <c r="H437" s="29">
        <f>IF($B437="","",F437*G437)</f>
        <v/>
      </c>
    </row>
    <row r="438">
      <c r="A438" s="40" t="n"/>
      <c r="B438" s="41" t="n"/>
      <c r="C438" s="42" t="n"/>
      <c r="D438" s="29">
        <f>IF($B438="","",IFERROR(INDEX(機種マスタ!$A$4:$A$203,MATCH($B438,機種マスタ!$B$4:$B$203,0)),"未登録"))</f>
        <v/>
      </c>
      <c r="E438" s="29">
        <f>IF($B438="","",IFERROR(INDEX(機種マスタ!$C$4:$C$203,MATCH($B438,機種マスタ!$B$4:$B$203,0)),"-"))</f>
        <v/>
      </c>
      <c r="F438" s="29">
        <f>IF($B438="","",IFERROR(N(INDEX(機種マスタ!$D$4:$D$203,MATCH($B438,機種マスタ!$B$4:$B$203,0))),0))</f>
        <v/>
      </c>
      <c r="G438" s="29">
        <f>IF($B438="","",IF($C438="",1,$C438))</f>
        <v/>
      </c>
      <c r="H438" s="29">
        <f>IF($B438="","",F438*G438)</f>
        <v/>
      </c>
    </row>
    <row r="439">
      <c r="A439" s="40" t="n"/>
      <c r="B439" s="41" t="n"/>
      <c r="C439" s="42" t="n"/>
      <c r="D439" s="29">
        <f>IF($B439="","",IFERROR(INDEX(機種マスタ!$A$4:$A$203,MATCH($B439,機種マスタ!$B$4:$B$203,0)),"未登録"))</f>
        <v/>
      </c>
      <c r="E439" s="29">
        <f>IF($B439="","",IFERROR(INDEX(機種マスタ!$C$4:$C$203,MATCH($B439,機種マスタ!$B$4:$B$203,0)),"-"))</f>
        <v/>
      </c>
      <c r="F439" s="29">
        <f>IF($B439="","",IFERROR(N(INDEX(機種マスタ!$D$4:$D$203,MATCH($B439,機種マスタ!$B$4:$B$203,0))),0))</f>
        <v/>
      </c>
      <c r="G439" s="29">
        <f>IF($B439="","",IF($C439="",1,$C439))</f>
        <v/>
      </c>
      <c r="H439" s="29">
        <f>IF($B439="","",F439*G439)</f>
        <v/>
      </c>
    </row>
    <row r="440">
      <c r="A440" s="40" t="n"/>
      <c r="B440" s="41" t="n"/>
      <c r="C440" s="42" t="n"/>
      <c r="D440" s="29">
        <f>IF($B440="","",IFERROR(INDEX(機種マスタ!$A$4:$A$203,MATCH($B440,機種マスタ!$B$4:$B$203,0)),"未登録"))</f>
        <v/>
      </c>
      <c r="E440" s="29">
        <f>IF($B440="","",IFERROR(INDEX(機種マスタ!$C$4:$C$203,MATCH($B440,機種マスタ!$B$4:$B$203,0)),"-"))</f>
        <v/>
      </c>
      <c r="F440" s="29">
        <f>IF($B440="","",IFERROR(N(INDEX(機種マスタ!$D$4:$D$203,MATCH($B440,機種マスタ!$B$4:$B$203,0))),0))</f>
        <v/>
      </c>
      <c r="G440" s="29">
        <f>IF($B440="","",IF($C440="",1,$C440))</f>
        <v/>
      </c>
      <c r="H440" s="29">
        <f>IF($B440="","",F440*G440)</f>
        <v/>
      </c>
    </row>
    <row r="441">
      <c r="A441" s="40" t="n"/>
      <c r="B441" s="41" t="n"/>
      <c r="C441" s="42" t="n"/>
      <c r="D441" s="29">
        <f>IF($B441="","",IFERROR(INDEX(機種マスタ!$A$4:$A$203,MATCH($B441,機種マスタ!$B$4:$B$203,0)),"未登録"))</f>
        <v/>
      </c>
      <c r="E441" s="29">
        <f>IF($B441="","",IFERROR(INDEX(機種マスタ!$C$4:$C$203,MATCH($B441,機種マスタ!$B$4:$B$203,0)),"-"))</f>
        <v/>
      </c>
      <c r="F441" s="29">
        <f>IF($B441="","",IFERROR(N(INDEX(機種マスタ!$D$4:$D$203,MATCH($B441,機種マスタ!$B$4:$B$203,0))),0))</f>
        <v/>
      </c>
      <c r="G441" s="29">
        <f>IF($B441="","",IF($C441="",1,$C441))</f>
        <v/>
      </c>
      <c r="H441" s="29">
        <f>IF($B441="","",F441*G441)</f>
        <v/>
      </c>
    </row>
    <row r="442">
      <c r="A442" s="40" t="n"/>
      <c r="B442" s="41" t="n"/>
      <c r="C442" s="42" t="n"/>
      <c r="D442" s="29">
        <f>IF($B442="","",IFERROR(INDEX(機種マスタ!$A$4:$A$203,MATCH($B442,機種マスタ!$B$4:$B$203,0)),"未登録"))</f>
        <v/>
      </c>
      <c r="E442" s="29">
        <f>IF($B442="","",IFERROR(INDEX(機種マスタ!$C$4:$C$203,MATCH($B442,機種マスタ!$B$4:$B$203,0)),"-"))</f>
        <v/>
      </c>
      <c r="F442" s="29">
        <f>IF($B442="","",IFERROR(N(INDEX(機種マスタ!$D$4:$D$203,MATCH($B442,機種マスタ!$B$4:$B$203,0))),0))</f>
        <v/>
      </c>
      <c r="G442" s="29">
        <f>IF($B442="","",IF($C442="",1,$C442))</f>
        <v/>
      </c>
      <c r="H442" s="29">
        <f>IF($B442="","",F442*G442)</f>
        <v/>
      </c>
    </row>
    <row r="443">
      <c r="A443" s="40" t="n"/>
      <c r="B443" s="41" t="n"/>
      <c r="C443" s="42" t="n"/>
      <c r="D443" s="29">
        <f>IF($B443="","",IFERROR(INDEX(機種マスタ!$A$4:$A$203,MATCH($B443,機種マスタ!$B$4:$B$203,0)),"未登録"))</f>
        <v/>
      </c>
      <c r="E443" s="29">
        <f>IF($B443="","",IFERROR(INDEX(機種マスタ!$C$4:$C$203,MATCH($B443,機種マスタ!$B$4:$B$203,0)),"-"))</f>
        <v/>
      </c>
      <c r="F443" s="29">
        <f>IF($B443="","",IFERROR(N(INDEX(機種マスタ!$D$4:$D$203,MATCH($B443,機種マスタ!$B$4:$B$203,0))),0))</f>
        <v/>
      </c>
      <c r="G443" s="29">
        <f>IF($B443="","",IF($C443="",1,$C443))</f>
        <v/>
      </c>
      <c r="H443" s="29">
        <f>IF($B443="","",F443*G443)</f>
        <v/>
      </c>
    </row>
    <row r="444">
      <c r="A444" s="40" t="n"/>
      <c r="B444" s="41" t="n"/>
      <c r="C444" s="42" t="n"/>
      <c r="D444" s="29">
        <f>IF($B444="","",IFERROR(INDEX(機種マスタ!$A$4:$A$203,MATCH($B444,機種マスタ!$B$4:$B$203,0)),"未登録"))</f>
        <v/>
      </c>
      <c r="E444" s="29">
        <f>IF($B444="","",IFERROR(INDEX(機種マスタ!$C$4:$C$203,MATCH($B444,機種マスタ!$B$4:$B$203,0)),"-"))</f>
        <v/>
      </c>
      <c r="F444" s="29">
        <f>IF($B444="","",IFERROR(N(INDEX(機種マスタ!$D$4:$D$203,MATCH($B444,機種マスタ!$B$4:$B$203,0))),0))</f>
        <v/>
      </c>
      <c r="G444" s="29">
        <f>IF($B444="","",IF($C444="",1,$C444))</f>
        <v/>
      </c>
      <c r="H444" s="29">
        <f>IF($B444="","",F444*G444)</f>
        <v/>
      </c>
    </row>
    <row r="445">
      <c r="A445" s="40" t="n"/>
      <c r="B445" s="41" t="n"/>
      <c r="C445" s="42" t="n"/>
      <c r="D445" s="29">
        <f>IF($B445="","",IFERROR(INDEX(機種マスタ!$A$4:$A$203,MATCH($B445,機種マスタ!$B$4:$B$203,0)),"未登録"))</f>
        <v/>
      </c>
      <c r="E445" s="29">
        <f>IF($B445="","",IFERROR(INDEX(機種マスタ!$C$4:$C$203,MATCH($B445,機種マスタ!$B$4:$B$203,0)),"-"))</f>
        <v/>
      </c>
      <c r="F445" s="29">
        <f>IF($B445="","",IFERROR(N(INDEX(機種マスタ!$D$4:$D$203,MATCH($B445,機種マスタ!$B$4:$B$203,0))),0))</f>
        <v/>
      </c>
      <c r="G445" s="29">
        <f>IF($B445="","",IF($C445="",1,$C445))</f>
        <v/>
      </c>
      <c r="H445" s="29">
        <f>IF($B445="","",F445*G445)</f>
        <v/>
      </c>
    </row>
    <row r="446">
      <c r="A446" s="40" t="n"/>
      <c r="B446" s="41" t="n"/>
      <c r="C446" s="42" t="n"/>
      <c r="D446" s="29">
        <f>IF($B446="","",IFERROR(INDEX(機種マスタ!$A$4:$A$203,MATCH($B446,機種マスタ!$B$4:$B$203,0)),"未登録"))</f>
        <v/>
      </c>
      <c r="E446" s="29">
        <f>IF($B446="","",IFERROR(INDEX(機種マスタ!$C$4:$C$203,MATCH($B446,機種マスタ!$B$4:$B$203,0)),"-"))</f>
        <v/>
      </c>
      <c r="F446" s="29">
        <f>IF($B446="","",IFERROR(N(INDEX(機種マスタ!$D$4:$D$203,MATCH($B446,機種マスタ!$B$4:$B$203,0))),0))</f>
        <v/>
      </c>
      <c r="G446" s="29">
        <f>IF($B446="","",IF($C446="",1,$C446))</f>
        <v/>
      </c>
      <c r="H446" s="29">
        <f>IF($B446="","",F446*G446)</f>
        <v/>
      </c>
    </row>
    <row r="447">
      <c r="A447" s="40" t="n"/>
      <c r="B447" s="41" t="n"/>
      <c r="C447" s="42" t="n"/>
      <c r="D447" s="29">
        <f>IF($B447="","",IFERROR(INDEX(機種マスタ!$A$4:$A$203,MATCH($B447,機種マスタ!$B$4:$B$203,0)),"未登録"))</f>
        <v/>
      </c>
      <c r="E447" s="29">
        <f>IF($B447="","",IFERROR(INDEX(機種マスタ!$C$4:$C$203,MATCH($B447,機種マスタ!$B$4:$B$203,0)),"-"))</f>
        <v/>
      </c>
      <c r="F447" s="29">
        <f>IF($B447="","",IFERROR(N(INDEX(機種マスタ!$D$4:$D$203,MATCH($B447,機種マスタ!$B$4:$B$203,0))),0))</f>
        <v/>
      </c>
      <c r="G447" s="29">
        <f>IF($B447="","",IF($C447="",1,$C447))</f>
        <v/>
      </c>
      <c r="H447" s="29">
        <f>IF($B447="","",F447*G447)</f>
        <v/>
      </c>
    </row>
    <row r="448">
      <c r="A448" s="40" t="n"/>
      <c r="B448" s="41" t="n"/>
      <c r="C448" s="42" t="n"/>
      <c r="D448" s="29">
        <f>IF($B448="","",IFERROR(INDEX(機種マスタ!$A$4:$A$203,MATCH($B448,機種マスタ!$B$4:$B$203,0)),"未登録"))</f>
        <v/>
      </c>
      <c r="E448" s="29">
        <f>IF($B448="","",IFERROR(INDEX(機種マスタ!$C$4:$C$203,MATCH($B448,機種マスタ!$B$4:$B$203,0)),"-"))</f>
        <v/>
      </c>
      <c r="F448" s="29">
        <f>IF($B448="","",IFERROR(N(INDEX(機種マスタ!$D$4:$D$203,MATCH($B448,機種マスタ!$B$4:$B$203,0))),0))</f>
        <v/>
      </c>
      <c r="G448" s="29">
        <f>IF($B448="","",IF($C448="",1,$C448))</f>
        <v/>
      </c>
      <c r="H448" s="29">
        <f>IF($B448="","",F448*G448)</f>
        <v/>
      </c>
    </row>
    <row r="449">
      <c r="A449" s="40" t="n"/>
      <c r="B449" s="41" t="n"/>
      <c r="C449" s="42" t="n"/>
      <c r="D449" s="29">
        <f>IF($B449="","",IFERROR(INDEX(機種マスタ!$A$4:$A$203,MATCH($B449,機種マスタ!$B$4:$B$203,0)),"未登録"))</f>
        <v/>
      </c>
      <c r="E449" s="29">
        <f>IF($B449="","",IFERROR(INDEX(機種マスタ!$C$4:$C$203,MATCH($B449,機種マスタ!$B$4:$B$203,0)),"-"))</f>
        <v/>
      </c>
      <c r="F449" s="29">
        <f>IF($B449="","",IFERROR(N(INDEX(機種マスタ!$D$4:$D$203,MATCH($B449,機種マスタ!$B$4:$B$203,0))),0))</f>
        <v/>
      </c>
      <c r="G449" s="29">
        <f>IF($B449="","",IF($C449="",1,$C449))</f>
        <v/>
      </c>
      <c r="H449" s="29">
        <f>IF($B449="","",F449*G449)</f>
        <v/>
      </c>
    </row>
    <row r="450">
      <c r="A450" s="40" t="n"/>
      <c r="B450" s="41" t="n"/>
      <c r="C450" s="42" t="n"/>
      <c r="D450" s="29">
        <f>IF($B450="","",IFERROR(INDEX(機種マスタ!$A$4:$A$203,MATCH($B450,機種マスタ!$B$4:$B$203,0)),"未登録"))</f>
        <v/>
      </c>
      <c r="E450" s="29">
        <f>IF($B450="","",IFERROR(INDEX(機種マスタ!$C$4:$C$203,MATCH($B450,機種マスタ!$B$4:$B$203,0)),"-"))</f>
        <v/>
      </c>
      <c r="F450" s="29">
        <f>IF($B450="","",IFERROR(N(INDEX(機種マスタ!$D$4:$D$203,MATCH($B450,機種マスタ!$B$4:$B$203,0))),0))</f>
        <v/>
      </c>
      <c r="G450" s="29">
        <f>IF($B450="","",IF($C450="",1,$C450))</f>
        <v/>
      </c>
      <c r="H450" s="29">
        <f>IF($B450="","",F450*G450)</f>
        <v/>
      </c>
    </row>
    <row r="451">
      <c r="A451" s="40" t="n"/>
      <c r="B451" s="41" t="n"/>
      <c r="C451" s="42" t="n"/>
      <c r="D451" s="29">
        <f>IF($B451="","",IFERROR(INDEX(機種マスタ!$A$4:$A$203,MATCH($B451,機種マスタ!$B$4:$B$203,0)),"未登録"))</f>
        <v/>
      </c>
      <c r="E451" s="29">
        <f>IF($B451="","",IFERROR(INDEX(機種マスタ!$C$4:$C$203,MATCH($B451,機種マスタ!$B$4:$B$203,0)),"-"))</f>
        <v/>
      </c>
      <c r="F451" s="29">
        <f>IF($B451="","",IFERROR(N(INDEX(機種マスタ!$D$4:$D$203,MATCH($B451,機種マスタ!$B$4:$B$203,0))),0))</f>
        <v/>
      </c>
      <c r="G451" s="29">
        <f>IF($B451="","",IF($C451="",1,$C451))</f>
        <v/>
      </c>
      <c r="H451" s="29">
        <f>IF($B451="","",F451*G451)</f>
        <v/>
      </c>
    </row>
    <row r="452">
      <c r="A452" s="40" t="n"/>
      <c r="B452" s="41" t="n"/>
      <c r="C452" s="42" t="n"/>
      <c r="D452" s="29">
        <f>IF($B452="","",IFERROR(INDEX(機種マスタ!$A$4:$A$203,MATCH($B452,機種マスタ!$B$4:$B$203,0)),"未登録"))</f>
        <v/>
      </c>
      <c r="E452" s="29">
        <f>IF($B452="","",IFERROR(INDEX(機種マスタ!$C$4:$C$203,MATCH($B452,機種マスタ!$B$4:$B$203,0)),"-"))</f>
        <v/>
      </c>
      <c r="F452" s="29">
        <f>IF($B452="","",IFERROR(N(INDEX(機種マスタ!$D$4:$D$203,MATCH($B452,機種マスタ!$B$4:$B$203,0))),0))</f>
        <v/>
      </c>
      <c r="G452" s="29">
        <f>IF($B452="","",IF($C452="",1,$C452))</f>
        <v/>
      </c>
      <c r="H452" s="29">
        <f>IF($B452="","",F452*G452)</f>
        <v/>
      </c>
    </row>
    <row r="453">
      <c r="A453" s="40" t="n"/>
      <c r="B453" s="41" t="n"/>
      <c r="C453" s="42" t="n"/>
      <c r="D453" s="29">
        <f>IF($B453="","",IFERROR(INDEX(機種マスタ!$A$4:$A$203,MATCH($B453,機種マスタ!$B$4:$B$203,0)),"未登録"))</f>
        <v/>
      </c>
      <c r="E453" s="29">
        <f>IF($B453="","",IFERROR(INDEX(機種マスタ!$C$4:$C$203,MATCH($B453,機種マスタ!$B$4:$B$203,0)),"-"))</f>
        <v/>
      </c>
      <c r="F453" s="29">
        <f>IF($B453="","",IFERROR(N(INDEX(機種マスタ!$D$4:$D$203,MATCH($B453,機種マスタ!$B$4:$B$203,0))),0))</f>
        <v/>
      </c>
      <c r="G453" s="29">
        <f>IF($B453="","",IF($C453="",1,$C453))</f>
        <v/>
      </c>
      <c r="H453" s="29">
        <f>IF($B453="","",F453*G453)</f>
        <v/>
      </c>
    </row>
    <row r="454">
      <c r="A454" s="40" t="n"/>
      <c r="B454" s="41" t="n"/>
      <c r="C454" s="42" t="n"/>
      <c r="D454" s="29">
        <f>IF($B454="","",IFERROR(INDEX(機種マスタ!$A$4:$A$203,MATCH($B454,機種マスタ!$B$4:$B$203,0)),"未登録"))</f>
        <v/>
      </c>
      <c r="E454" s="29">
        <f>IF($B454="","",IFERROR(INDEX(機種マスタ!$C$4:$C$203,MATCH($B454,機種マスタ!$B$4:$B$203,0)),"-"))</f>
        <v/>
      </c>
      <c r="F454" s="29">
        <f>IF($B454="","",IFERROR(N(INDEX(機種マスタ!$D$4:$D$203,MATCH($B454,機種マスタ!$B$4:$B$203,0))),0))</f>
        <v/>
      </c>
      <c r="G454" s="29">
        <f>IF($B454="","",IF($C454="",1,$C454))</f>
        <v/>
      </c>
      <c r="H454" s="29">
        <f>IF($B454="","",F454*G454)</f>
        <v/>
      </c>
    </row>
    <row r="455">
      <c r="A455" s="40" t="n"/>
      <c r="B455" s="41" t="n"/>
      <c r="C455" s="42" t="n"/>
      <c r="D455" s="29">
        <f>IF($B455="","",IFERROR(INDEX(機種マスタ!$A$4:$A$203,MATCH($B455,機種マスタ!$B$4:$B$203,0)),"未登録"))</f>
        <v/>
      </c>
      <c r="E455" s="29">
        <f>IF($B455="","",IFERROR(INDEX(機種マスタ!$C$4:$C$203,MATCH($B455,機種マスタ!$B$4:$B$203,0)),"-"))</f>
        <v/>
      </c>
      <c r="F455" s="29">
        <f>IF($B455="","",IFERROR(N(INDEX(機種マスタ!$D$4:$D$203,MATCH($B455,機種マスタ!$B$4:$B$203,0))),0))</f>
        <v/>
      </c>
      <c r="G455" s="29">
        <f>IF($B455="","",IF($C455="",1,$C455))</f>
        <v/>
      </c>
      <c r="H455" s="29">
        <f>IF($B455="","",F455*G455)</f>
        <v/>
      </c>
    </row>
    <row r="456">
      <c r="A456" s="40" t="n"/>
      <c r="B456" s="41" t="n"/>
      <c r="C456" s="42" t="n"/>
      <c r="D456" s="29">
        <f>IF($B456="","",IFERROR(INDEX(機種マスタ!$A$4:$A$203,MATCH($B456,機種マスタ!$B$4:$B$203,0)),"未登録"))</f>
        <v/>
      </c>
      <c r="E456" s="29">
        <f>IF($B456="","",IFERROR(INDEX(機種マスタ!$C$4:$C$203,MATCH($B456,機種マスタ!$B$4:$B$203,0)),"-"))</f>
        <v/>
      </c>
      <c r="F456" s="29">
        <f>IF($B456="","",IFERROR(N(INDEX(機種マスタ!$D$4:$D$203,MATCH($B456,機種マスタ!$B$4:$B$203,0))),0))</f>
        <v/>
      </c>
      <c r="G456" s="29">
        <f>IF($B456="","",IF($C456="",1,$C456))</f>
        <v/>
      </c>
      <c r="H456" s="29">
        <f>IF($B456="","",F456*G456)</f>
        <v/>
      </c>
    </row>
    <row r="457">
      <c r="A457" s="40" t="n"/>
      <c r="B457" s="41" t="n"/>
      <c r="C457" s="42" t="n"/>
      <c r="D457" s="29">
        <f>IF($B457="","",IFERROR(INDEX(機種マスタ!$A$4:$A$203,MATCH($B457,機種マスタ!$B$4:$B$203,0)),"未登録"))</f>
        <v/>
      </c>
      <c r="E457" s="29">
        <f>IF($B457="","",IFERROR(INDEX(機種マスタ!$C$4:$C$203,MATCH($B457,機種マスタ!$B$4:$B$203,0)),"-"))</f>
        <v/>
      </c>
      <c r="F457" s="29">
        <f>IF($B457="","",IFERROR(N(INDEX(機種マスタ!$D$4:$D$203,MATCH($B457,機種マスタ!$B$4:$B$203,0))),0))</f>
        <v/>
      </c>
      <c r="G457" s="29">
        <f>IF($B457="","",IF($C457="",1,$C457))</f>
        <v/>
      </c>
      <c r="H457" s="29">
        <f>IF($B457="","",F457*G457)</f>
        <v/>
      </c>
    </row>
    <row r="458">
      <c r="A458" s="40" t="n"/>
      <c r="B458" s="41" t="n"/>
      <c r="C458" s="42" t="n"/>
      <c r="D458" s="29">
        <f>IF($B458="","",IFERROR(INDEX(機種マスタ!$A$4:$A$203,MATCH($B458,機種マスタ!$B$4:$B$203,0)),"未登録"))</f>
        <v/>
      </c>
      <c r="E458" s="29">
        <f>IF($B458="","",IFERROR(INDEX(機種マスタ!$C$4:$C$203,MATCH($B458,機種マスタ!$B$4:$B$203,0)),"-"))</f>
        <v/>
      </c>
      <c r="F458" s="29">
        <f>IF($B458="","",IFERROR(N(INDEX(機種マスタ!$D$4:$D$203,MATCH($B458,機種マスタ!$B$4:$B$203,0))),0))</f>
        <v/>
      </c>
      <c r="G458" s="29">
        <f>IF($B458="","",IF($C458="",1,$C458))</f>
        <v/>
      </c>
      <c r="H458" s="29">
        <f>IF($B458="","",F458*G458)</f>
        <v/>
      </c>
    </row>
    <row r="459">
      <c r="A459" s="40" t="n"/>
      <c r="B459" s="41" t="n"/>
      <c r="C459" s="42" t="n"/>
      <c r="D459" s="29">
        <f>IF($B459="","",IFERROR(INDEX(機種マスタ!$A$4:$A$203,MATCH($B459,機種マスタ!$B$4:$B$203,0)),"未登録"))</f>
        <v/>
      </c>
      <c r="E459" s="29">
        <f>IF($B459="","",IFERROR(INDEX(機種マスタ!$C$4:$C$203,MATCH($B459,機種マスタ!$B$4:$B$203,0)),"-"))</f>
        <v/>
      </c>
      <c r="F459" s="29">
        <f>IF($B459="","",IFERROR(N(INDEX(機種マスタ!$D$4:$D$203,MATCH($B459,機種マスタ!$B$4:$B$203,0))),0))</f>
        <v/>
      </c>
      <c r="G459" s="29">
        <f>IF($B459="","",IF($C459="",1,$C459))</f>
        <v/>
      </c>
      <c r="H459" s="29">
        <f>IF($B459="","",F459*G459)</f>
        <v/>
      </c>
    </row>
    <row r="460">
      <c r="A460" s="40" t="n"/>
      <c r="B460" s="41" t="n"/>
      <c r="C460" s="42" t="n"/>
      <c r="D460" s="29">
        <f>IF($B460="","",IFERROR(INDEX(機種マスタ!$A$4:$A$203,MATCH($B460,機種マスタ!$B$4:$B$203,0)),"未登録"))</f>
        <v/>
      </c>
      <c r="E460" s="29">
        <f>IF($B460="","",IFERROR(INDEX(機種マスタ!$C$4:$C$203,MATCH($B460,機種マスタ!$B$4:$B$203,0)),"-"))</f>
        <v/>
      </c>
      <c r="F460" s="29">
        <f>IF($B460="","",IFERROR(N(INDEX(機種マスタ!$D$4:$D$203,MATCH($B460,機種マスタ!$B$4:$B$203,0))),0))</f>
        <v/>
      </c>
      <c r="G460" s="29">
        <f>IF($B460="","",IF($C460="",1,$C460))</f>
        <v/>
      </c>
      <c r="H460" s="29">
        <f>IF($B460="","",F460*G460)</f>
        <v/>
      </c>
    </row>
    <row r="461">
      <c r="A461" s="40" t="n"/>
      <c r="B461" s="41" t="n"/>
      <c r="C461" s="42" t="n"/>
      <c r="D461" s="29">
        <f>IF($B461="","",IFERROR(INDEX(機種マスタ!$A$4:$A$203,MATCH($B461,機種マスタ!$B$4:$B$203,0)),"未登録"))</f>
        <v/>
      </c>
      <c r="E461" s="29">
        <f>IF($B461="","",IFERROR(INDEX(機種マスタ!$C$4:$C$203,MATCH($B461,機種マスタ!$B$4:$B$203,0)),"-"))</f>
        <v/>
      </c>
      <c r="F461" s="29">
        <f>IF($B461="","",IFERROR(N(INDEX(機種マスタ!$D$4:$D$203,MATCH($B461,機種マスタ!$B$4:$B$203,0))),0))</f>
        <v/>
      </c>
      <c r="G461" s="29">
        <f>IF($B461="","",IF($C461="",1,$C461))</f>
        <v/>
      </c>
      <c r="H461" s="29">
        <f>IF($B461="","",F461*G461)</f>
        <v/>
      </c>
    </row>
    <row r="462">
      <c r="A462" s="40" t="n"/>
      <c r="B462" s="41" t="n"/>
      <c r="C462" s="42" t="n"/>
      <c r="D462" s="29">
        <f>IF($B462="","",IFERROR(INDEX(機種マスタ!$A$4:$A$203,MATCH($B462,機種マスタ!$B$4:$B$203,0)),"未登録"))</f>
        <v/>
      </c>
      <c r="E462" s="29">
        <f>IF($B462="","",IFERROR(INDEX(機種マスタ!$C$4:$C$203,MATCH($B462,機種マスタ!$B$4:$B$203,0)),"-"))</f>
        <v/>
      </c>
      <c r="F462" s="29">
        <f>IF($B462="","",IFERROR(N(INDEX(機種マスタ!$D$4:$D$203,MATCH($B462,機種マスタ!$B$4:$B$203,0))),0))</f>
        <v/>
      </c>
      <c r="G462" s="29">
        <f>IF($B462="","",IF($C462="",1,$C462))</f>
        <v/>
      </c>
      <c r="H462" s="29">
        <f>IF($B462="","",F462*G462)</f>
        <v/>
      </c>
    </row>
    <row r="463">
      <c r="A463" s="40" t="n"/>
      <c r="B463" s="41" t="n"/>
      <c r="C463" s="42" t="n"/>
      <c r="D463" s="29">
        <f>IF($B463="","",IFERROR(INDEX(機種マスタ!$A$4:$A$203,MATCH($B463,機種マスタ!$B$4:$B$203,0)),"未登録"))</f>
        <v/>
      </c>
      <c r="E463" s="29">
        <f>IF($B463="","",IFERROR(INDEX(機種マスタ!$C$4:$C$203,MATCH($B463,機種マスタ!$B$4:$B$203,0)),"-"))</f>
        <v/>
      </c>
      <c r="F463" s="29">
        <f>IF($B463="","",IFERROR(N(INDEX(機種マスタ!$D$4:$D$203,MATCH($B463,機種マスタ!$B$4:$B$203,0))),0))</f>
        <v/>
      </c>
      <c r="G463" s="29">
        <f>IF($B463="","",IF($C463="",1,$C463))</f>
        <v/>
      </c>
      <c r="H463" s="29">
        <f>IF($B463="","",F463*G463)</f>
        <v/>
      </c>
    </row>
    <row r="464">
      <c r="A464" s="40" t="n"/>
      <c r="B464" s="41" t="n"/>
      <c r="C464" s="42" t="n"/>
      <c r="D464" s="29">
        <f>IF($B464="","",IFERROR(INDEX(機種マスタ!$A$4:$A$203,MATCH($B464,機種マスタ!$B$4:$B$203,0)),"未登録"))</f>
        <v/>
      </c>
      <c r="E464" s="29">
        <f>IF($B464="","",IFERROR(INDEX(機種マスタ!$C$4:$C$203,MATCH($B464,機種マスタ!$B$4:$B$203,0)),"-"))</f>
        <v/>
      </c>
      <c r="F464" s="29">
        <f>IF($B464="","",IFERROR(N(INDEX(機種マスタ!$D$4:$D$203,MATCH($B464,機種マスタ!$B$4:$B$203,0))),0))</f>
        <v/>
      </c>
      <c r="G464" s="29">
        <f>IF($B464="","",IF($C464="",1,$C464))</f>
        <v/>
      </c>
      <c r="H464" s="29">
        <f>IF($B464="","",F464*G464)</f>
        <v/>
      </c>
    </row>
    <row r="465">
      <c r="A465" s="40" t="n"/>
      <c r="B465" s="41" t="n"/>
      <c r="C465" s="42" t="n"/>
      <c r="D465" s="29">
        <f>IF($B465="","",IFERROR(INDEX(機種マスタ!$A$4:$A$203,MATCH($B465,機種マスタ!$B$4:$B$203,0)),"未登録"))</f>
        <v/>
      </c>
      <c r="E465" s="29">
        <f>IF($B465="","",IFERROR(INDEX(機種マスタ!$C$4:$C$203,MATCH($B465,機種マスタ!$B$4:$B$203,0)),"-"))</f>
        <v/>
      </c>
      <c r="F465" s="29">
        <f>IF($B465="","",IFERROR(N(INDEX(機種マスタ!$D$4:$D$203,MATCH($B465,機種マスタ!$B$4:$B$203,0))),0))</f>
        <v/>
      </c>
      <c r="G465" s="29">
        <f>IF($B465="","",IF($C465="",1,$C465))</f>
        <v/>
      </c>
      <c r="H465" s="29">
        <f>IF($B465="","",F465*G465)</f>
        <v/>
      </c>
    </row>
    <row r="466">
      <c r="A466" s="40" t="n"/>
      <c r="B466" s="41" t="n"/>
      <c r="C466" s="42" t="n"/>
      <c r="D466" s="29">
        <f>IF($B466="","",IFERROR(INDEX(機種マスタ!$A$4:$A$203,MATCH($B466,機種マスタ!$B$4:$B$203,0)),"未登録"))</f>
        <v/>
      </c>
      <c r="E466" s="29">
        <f>IF($B466="","",IFERROR(INDEX(機種マスタ!$C$4:$C$203,MATCH($B466,機種マスタ!$B$4:$B$203,0)),"-"))</f>
        <v/>
      </c>
      <c r="F466" s="29">
        <f>IF($B466="","",IFERROR(N(INDEX(機種マスタ!$D$4:$D$203,MATCH($B466,機種マスタ!$B$4:$B$203,0))),0))</f>
        <v/>
      </c>
      <c r="G466" s="29">
        <f>IF($B466="","",IF($C466="",1,$C466))</f>
        <v/>
      </c>
      <c r="H466" s="29">
        <f>IF($B466="","",F466*G466)</f>
        <v/>
      </c>
    </row>
    <row r="467">
      <c r="A467" s="40" t="n"/>
      <c r="B467" s="41" t="n"/>
      <c r="C467" s="42" t="n"/>
      <c r="D467" s="29">
        <f>IF($B467="","",IFERROR(INDEX(機種マスタ!$A$4:$A$203,MATCH($B467,機種マスタ!$B$4:$B$203,0)),"未登録"))</f>
        <v/>
      </c>
      <c r="E467" s="29">
        <f>IF($B467="","",IFERROR(INDEX(機種マスタ!$C$4:$C$203,MATCH($B467,機種マスタ!$B$4:$B$203,0)),"-"))</f>
        <v/>
      </c>
      <c r="F467" s="29">
        <f>IF($B467="","",IFERROR(N(INDEX(機種マスタ!$D$4:$D$203,MATCH($B467,機種マスタ!$B$4:$B$203,0))),0))</f>
        <v/>
      </c>
      <c r="G467" s="29">
        <f>IF($B467="","",IF($C467="",1,$C467))</f>
        <v/>
      </c>
      <c r="H467" s="29">
        <f>IF($B467="","",F467*G467)</f>
        <v/>
      </c>
    </row>
    <row r="468">
      <c r="A468" s="40" t="n"/>
      <c r="B468" s="41" t="n"/>
      <c r="C468" s="42" t="n"/>
      <c r="D468" s="29">
        <f>IF($B468="","",IFERROR(INDEX(機種マスタ!$A$4:$A$203,MATCH($B468,機種マスタ!$B$4:$B$203,0)),"未登録"))</f>
        <v/>
      </c>
      <c r="E468" s="29">
        <f>IF($B468="","",IFERROR(INDEX(機種マスタ!$C$4:$C$203,MATCH($B468,機種マスタ!$B$4:$B$203,0)),"-"))</f>
        <v/>
      </c>
      <c r="F468" s="29">
        <f>IF($B468="","",IFERROR(N(INDEX(機種マスタ!$D$4:$D$203,MATCH($B468,機種マスタ!$B$4:$B$203,0))),0))</f>
        <v/>
      </c>
      <c r="G468" s="29">
        <f>IF($B468="","",IF($C468="",1,$C468))</f>
        <v/>
      </c>
      <c r="H468" s="29">
        <f>IF($B468="","",F468*G468)</f>
        <v/>
      </c>
    </row>
    <row r="469">
      <c r="A469" s="40" t="n"/>
      <c r="B469" s="41" t="n"/>
      <c r="C469" s="42" t="n"/>
      <c r="D469" s="29">
        <f>IF($B469="","",IFERROR(INDEX(機種マスタ!$A$4:$A$203,MATCH($B469,機種マスタ!$B$4:$B$203,0)),"未登録"))</f>
        <v/>
      </c>
      <c r="E469" s="29">
        <f>IF($B469="","",IFERROR(INDEX(機種マスタ!$C$4:$C$203,MATCH($B469,機種マスタ!$B$4:$B$203,0)),"-"))</f>
        <v/>
      </c>
      <c r="F469" s="29">
        <f>IF($B469="","",IFERROR(N(INDEX(機種マスタ!$D$4:$D$203,MATCH($B469,機種マスタ!$B$4:$B$203,0))),0))</f>
        <v/>
      </c>
      <c r="G469" s="29">
        <f>IF($B469="","",IF($C469="",1,$C469))</f>
        <v/>
      </c>
      <c r="H469" s="29">
        <f>IF($B469="","",F469*G469)</f>
        <v/>
      </c>
    </row>
    <row r="470">
      <c r="A470" s="40" t="n"/>
      <c r="B470" s="41" t="n"/>
      <c r="C470" s="42" t="n"/>
      <c r="D470" s="29">
        <f>IF($B470="","",IFERROR(INDEX(機種マスタ!$A$4:$A$203,MATCH($B470,機種マスタ!$B$4:$B$203,0)),"未登録"))</f>
        <v/>
      </c>
      <c r="E470" s="29">
        <f>IF($B470="","",IFERROR(INDEX(機種マスタ!$C$4:$C$203,MATCH($B470,機種マスタ!$B$4:$B$203,0)),"-"))</f>
        <v/>
      </c>
      <c r="F470" s="29">
        <f>IF($B470="","",IFERROR(N(INDEX(機種マスタ!$D$4:$D$203,MATCH($B470,機種マスタ!$B$4:$B$203,0))),0))</f>
        <v/>
      </c>
      <c r="G470" s="29">
        <f>IF($B470="","",IF($C470="",1,$C470))</f>
        <v/>
      </c>
      <c r="H470" s="29">
        <f>IF($B470="","",F470*G470)</f>
        <v/>
      </c>
    </row>
    <row r="471">
      <c r="A471" s="40" t="n"/>
      <c r="B471" s="41" t="n"/>
      <c r="C471" s="42" t="n"/>
      <c r="D471" s="29">
        <f>IF($B471="","",IFERROR(INDEX(機種マスタ!$A$4:$A$203,MATCH($B471,機種マスタ!$B$4:$B$203,0)),"未登録"))</f>
        <v/>
      </c>
      <c r="E471" s="29">
        <f>IF($B471="","",IFERROR(INDEX(機種マスタ!$C$4:$C$203,MATCH($B471,機種マスタ!$B$4:$B$203,0)),"-"))</f>
        <v/>
      </c>
      <c r="F471" s="29">
        <f>IF($B471="","",IFERROR(N(INDEX(機種マスタ!$D$4:$D$203,MATCH($B471,機種マスタ!$B$4:$B$203,0))),0))</f>
        <v/>
      </c>
      <c r="G471" s="29">
        <f>IF($B471="","",IF($C471="",1,$C471))</f>
        <v/>
      </c>
      <c r="H471" s="29">
        <f>IF($B471="","",F471*G471)</f>
        <v/>
      </c>
    </row>
    <row r="472">
      <c r="A472" s="40" t="n"/>
      <c r="B472" s="41" t="n"/>
      <c r="C472" s="42" t="n"/>
      <c r="D472" s="29">
        <f>IF($B472="","",IFERROR(INDEX(機種マスタ!$A$4:$A$203,MATCH($B472,機種マスタ!$B$4:$B$203,0)),"未登録"))</f>
        <v/>
      </c>
      <c r="E472" s="29">
        <f>IF($B472="","",IFERROR(INDEX(機種マスタ!$C$4:$C$203,MATCH($B472,機種マスタ!$B$4:$B$203,0)),"-"))</f>
        <v/>
      </c>
      <c r="F472" s="29">
        <f>IF($B472="","",IFERROR(N(INDEX(機種マスタ!$D$4:$D$203,MATCH($B472,機種マスタ!$B$4:$B$203,0))),0))</f>
        <v/>
      </c>
      <c r="G472" s="29">
        <f>IF($B472="","",IF($C472="",1,$C472))</f>
        <v/>
      </c>
      <c r="H472" s="29">
        <f>IF($B472="","",F472*G472)</f>
        <v/>
      </c>
    </row>
    <row r="473">
      <c r="A473" s="40" t="n"/>
      <c r="B473" s="41" t="n"/>
      <c r="C473" s="42" t="n"/>
      <c r="D473" s="29">
        <f>IF($B473="","",IFERROR(INDEX(機種マスタ!$A$4:$A$203,MATCH($B473,機種マスタ!$B$4:$B$203,0)),"未登録"))</f>
        <v/>
      </c>
      <c r="E473" s="29">
        <f>IF($B473="","",IFERROR(INDEX(機種マスタ!$C$4:$C$203,MATCH($B473,機種マスタ!$B$4:$B$203,0)),"-"))</f>
        <v/>
      </c>
      <c r="F473" s="29">
        <f>IF($B473="","",IFERROR(N(INDEX(機種マスタ!$D$4:$D$203,MATCH($B473,機種マスタ!$B$4:$B$203,0))),0))</f>
        <v/>
      </c>
      <c r="G473" s="29">
        <f>IF($B473="","",IF($C473="",1,$C473))</f>
        <v/>
      </c>
      <c r="H473" s="29">
        <f>IF($B473="","",F473*G473)</f>
        <v/>
      </c>
    </row>
    <row r="474">
      <c r="A474" s="40" t="n"/>
      <c r="B474" s="41" t="n"/>
      <c r="C474" s="42" t="n"/>
      <c r="D474" s="29">
        <f>IF($B474="","",IFERROR(INDEX(機種マスタ!$A$4:$A$203,MATCH($B474,機種マスタ!$B$4:$B$203,0)),"未登録"))</f>
        <v/>
      </c>
      <c r="E474" s="29">
        <f>IF($B474="","",IFERROR(INDEX(機種マスタ!$C$4:$C$203,MATCH($B474,機種マスタ!$B$4:$B$203,0)),"-"))</f>
        <v/>
      </c>
      <c r="F474" s="29">
        <f>IF($B474="","",IFERROR(N(INDEX(機種マスタ!$D$4:$D$203,MATCH($B474,機種マスタ!$B$4:$B$203,0))),0))</f>
        <v/>
      </c>
      <c r="G474" s="29">
        <f>IF($B474="","",IF($C474="",1,$C474))</f>
        <v/>
      </c>
      <c r="H474" s="29">
        <f>IF($B474="","",F474*G474)</f>
        <v/>
      </c>
    </row>
    <row r="475">
      <c r="A475" s="40" t="n"/>
      <c r="B475" s="41" t="n"/>
      <c r="C475" s="42" t="n"/>
      <c r="D475" s="29">
        <f>IF($B475="","",IFERROR(INDEX(機種マスタ!$A$4:$A$203,MATCH($B475,機種マスタ!$B$4:$B$203,0)),"未登録"))</f>
        <v/>
      </c>
      <c r="E475" s="29">
        <f>IF($B475="","",IFERROR(INDEX(機種マスタ!$C$4:$C$203,MATCH($B475,機種マスタ!$B$4:$B$203,0)),"-"))</f>
        <v/>
      </c>
      <c r="F475" s="29">
        <f>IF($B475="","",IFERROR(N(INDEX(機種マスタ!$D$4:$D$203,MATCH($B475,機種マスタ!$B$4:$B$203,0))),0))</f>
        <v/>
      </c>
      <c r="G475" s="29">
        <f>IF($B475="","",IF($C475="",1,$C475))</f>
        <v/>
      </c>
      <c r="H475" s="29">
        <f>IF($B475="","",F475*G475)</f>
        <v/>
      </c>
    </row>
    <row r="476">
      <c r="A476" s="40" t="n"/>
      <c r="B476" s="41" t="n"/>
      <c r="C476" s="42" t="n"/>
      <c r="D476" s="29">
        <f>IF($B476="","",IFERROR(INDEX(機種マスタ!$A$4:$A$203,MATCH($B476,機種マスタ!$B$4:$B$203,0)),"未登録"))</f>
        <v/>
      </c>
      <c r="E476" s="29">
        <f>IF($B476="","",IFERROR(INDEX(機種マスタ!$C$4:$C$203,MATCH($B476,機種マスタ!$B$4:$B$203,0)),"-"))</f>
        <v/>
      </c>
      <c r="F476" s="29">
        <f>IF($B476="","",IFERROR(N(INDEX(機種マスタ!$D$4:$D$203,MATCH($B476,機種マスタ!$B$4:$B$203,0))),0))</f>
        <v/>
      </c>
      <c r="G476" s="29">
        <f>IF($B476="","",IF($C476="",1,$C476))</f>
        <v/>
      </c>
      <c r="H476" s="29">
        <f>IF($B476="","",F476*G476)</f>
        <v/>
      </c>
    </row>
    <row r="477">
      <c r="A477" s="40" t="n"/>
      <c r="B477" s="41" t="n"/>
      <c r="C477" s="42" t="n"/>
      <c r="D477" s="29">
        <f>IF($B477="","",IFERROR(INDEX(機種マスタ!$A$4:$A$203,MATCH($B477,機種マスタ!$B$4:$B$203,0)),"未登録"))</f>
        <v/>
      </c>
      <c r="E477" s="29">
        <f>IF($B477="","",IFERROR(INDEX(機種マスタ!$C$4:$C$203,MATCH($B477,機種マスタ!$B$4:$B$203,0)),"-"))</f>
        <v/>
      </c>
      <c r="F477" s="29">
        <f>IF($B477="","",IFERROR(N(INDEX(機種マスタ!$D$4:$D$203,MATCH($B477,機種マスタ!$B$4:$B$203,0))),0))</f>
        <v/>
      </c>
      <c r="G477" s="29">
        <f>IF($B477="","",IF($C477="",1,$C477))</f>
        <v/>
      </c>
      <c r="H477" s="29">
        <f>IF($B477="","",F477*G477)</f>
        <v/>
      </c>
    </row>
    <row r="478">
      <c r="A478" s="40" t="n"/>
      <c r="B478" s="41" t="n"/>
      <c r="C478" s="42" t="n"/>
      <c r="D478" s="29">
        <f>IF($B478="","",IFERROR(INDEX(機種マスタ!$A$4:$A$203,MATCH($B478,機種マスタ!$B$4:$B$203,0)),"未登録"))</f>
        <v/>
      </c>
      <c r="E478" s="29">
        <f>IF($B478="","",IFERROR(INDEX(機種マスタ!$C$4:$C$203,MATCH($B478,機種マスタ!$B$4:$B$203,0)),"-"))</f>
        <v/>
      </c>
      <c r="F478" s="29">
        <f>IF($B478="","",IFERROR(N(INDEX(機種マスタ!$D$4:$D$203,MATCH($B478,機種マスタ!$B$4:$B$203,0))),0))</f>
        <v/>
      </c>
      <c r="G478" s="29">
        <f>IF($B478="","",IF($C478="",1,$C478))</f>
        <v/>
      </c>
      <c r="H478" s="29">
        <f>IF($B478="","",F478*G478)</f>
        <v/>
      </c>
    </row>
    <row r="479">
      <c r="A479" s="40" t="n"/>
      <c r="B479" s="41" t="n"/>
      <c r="C479" s="42" t="n"/>
      <c r="D479" s="29">
        <f>IF($B479="","",IFERROR(INDEX(機種マスタ!$A$4:$A$203,MATCH($B479,機種マスタ!$B$4:$B$203,0)),"未登録"))</f>
        <v/>
      </c>
      <c r="E479" s="29">
        <f>IF($B479="","",IFERROR(INDEX(機種マスタ!$C$4:$C$203,MATCH($B479,機種マスタ!$B$4:$B$203,0)),"-"))</f>
        <v/>
      </c>
      <c r="F479" s="29">
        <f>IF($B479="","",IFERROR(N(INDEX(機種マスタ!$D$4:$D$203,MATCH($B479,機種マスタ!$B$4:$B$203,0))),0))</f>
        <v/>
      </c>
      <c r="G479" s="29">
        <f>IF($B479="","",IF($C479="",1,$C479))</f>
        <v/>
      </c>
      <c r="H479" s="29">
        <f>IF($B479="","",F479*G479)</f>
        <v/>
      </c>
    </row>
    <row r="480">
      <c r="A480" s="40" t="n"/>
      <c r="B480" s="41" t="n"/>
      <c r="C480" s="42" t="n"/>
      <c r="D480" s="29">
        <f>IF($B480="","",IFERROR(INDEX(機種マスタ!$A$4:$A$203,MATCH($B480,機種マスタ!$B$4:$B$203,0)),"未登録"))</f>
        <v/>
      </c>
      <c r="E480" s="29">
        <f>IF($B480="","",IFERROR(INDEX(機種マスタ!$C$4:$C$203,MATCH($B480,機種マスタ!$B$4:$B$203,0)),"-"))</f>
        <v/>
      </c>
      <c r="F480" s="29">
        <f>IF($B480="","",IFERROR(N(INDEX(機種マスタ!$D$4:$D$203,MATCH($B480,機種マスタ!$B$4:$B$203,0))),0))</f>
        <v/>
      </c>
      <c r="G480" s="29">
        <f>IF($B480="","",IF($C480="",1,$C480))</f>
        <v/>
      </c>
      <c r="H480" s="29">
        <f>IF($B480="","",F480*G480)</f>
        <v/>
      </c>
    </row>
    <row r="481">
      <c r="A481" s="40" t="n"/>
      <c r="B481" s="41" t="n"/>
      <c r="C481" s="42" t="n"/>
      <c r="D481" s="29">
        <f>IF($B481="","",IFERROR(INDEX(機種マスタ!$A$4:$A$203,MATCH($B481,機種マスタ!$B$4:$B$203,0)),"未登録"))</f>
        <v/>
      </c>
      <c r="E481" s="29">
        <f>IF($B481="","",IFERROR(INDEX(機種マスタ!$C$4:$C$203,MATCH($B481,機種マスタ!$B$4:$B$203,0)),"-"))</f>
        <v/>
      </c>
      <c r="F481" s="29">
        <f>IF($B481="","",IFERROR(N(INDEX(機種マスタ!$D$4:$D$203,MATCH($B481,機種マスタ!$B$4:$B$203,0))),0))</f>
        <v/>
      </c>
      <c r="G481" s="29">
        <f>IF($B481="","",IF($C481="",1,$C481))</f>
        <v/>
      </c>
      <c r="H481" s="29">
        <f>IF($B481="","",F481*G481)</f>
        <v/>
      </c>
    </row>
    <row r="482">
      <c r="A482" s="40" t="n"/>
      <c r="B482" s="41" t="n"/>
      <c r="C482" s="42" t="n"/>
      <c r="D482" s="29">
        <f>IF($B482="","",IFERROR(INDEX(機種マスタ!$A$4:$A$203,MATCH($B482,機種マスタ!$B$4:$B$203,0)),"未登録"))</f>
        <v/>
      </c>
      <c r="E482" s="29">
        <f>IF($B482="","",IFERROR(INDEX(機種マスタ!$C$4:$C$203,MATCH($B482,機種マスタ!$B$4:$B$203,0)),"-"))</f>
        <v/>
      </c>
      <c r="F482" s="29">
        <f>IF($B482="","",IFERROR(N(INDEX(機種マスタ!$D$4:$D$203,MATCH($B482,機種マスタ!$B$4:$B$203,0))),0))</f>
        <v/>
      </c>
      <c r="G482" s="29">
        <f>IF($B482="","",IF($C482="",1,$C482))</f>
        <v/>
      </c>
      <c r="H482" s="29">
        <f>IF($B482="","",F482*G482)</f>
        <v/>
      </c>
    </row>
    <row r="483">
      <c r="A483" s="40" t="n"/>
      <c r="B483" s="41" t="n"/>
      <c r="C483" s="42" t="n"/>
      <c r="D483" s="29">
        <f>IF($B483="","",IFERROR(INDEX(機種マスタ!$A$4:$A$203,MATCH($B483,機種マスタ!$B$4:$B$203,0)),"未登録"))</f>
        <v/>
      </c>
      <c r="E483" s="29">
        <f>IF($B483="","",IFERROR(INDEX(機種マスタ!$C$4:$C$203,MATCH($B483,機種マスタ!$B$4:$B$203,0)),"-"))</f>
        <v/>
      </c>
      <c r="F483" s="29">
        <f>IF($B483="","",IFERROR(N(INDEX(機種マスタ!$D$4:$D$203,MATCH($B483,機種マスタ!$B$4:$B$203,0))),0))</f>
        <v/>
      </c>
      <c r="G483" s="29">
        <f>IF($B483="","",IF($C483="",1,$C483))</f>
        <v/>
      </c>
      <c r="H483" s="29">
        <f>IF($B483="","",F483*G483)</f>
        <v/>
      </c>
    </row>
    <row r="484">
      <c r="A484" s="40" t="n"/>
      <c r="B484" s="41" t="n"/>
      <c r="C484" s="42" t="n"/>
      <c r="D484" s="29">
        <f>IF($B484="","",IFERROR(INDEX(機種マスタ!$A$4:$A$203,MATCH($B484,機種マスタ!$B$4:$B$203,0)),"未登録"))</f>
        <v/>
      </c>
      <c r="E484" s="29">
        <f>IF($B484="","",IFERROR(INDEX(機種マスタ!$C$4:$C$203,MATCH($B484,機種マスタ!$B$4:$B$203,0)),"-"))</f>
        <v/>
      </c>
      <c r="F484" s="29">
        <f>IF($B484="","",IFERROR(N(INDEX(機種マスタ!$D$4:$D$203,MATCH($B484,機種マスタ!$B$4:$B$203,0))),0))</f>
        <v/>
      </c>
      <c r="G484" s="29">
        <f>IF($B484="","",IF($C484="",1,$C484))</f>
        <v/>
      </c>
      <c r="H484" s="29">
        <f>IF($B484="","",F484*G484)</f>
        <v/>
      </c>
    </row>
    <row r="485">
      <c r="A485" s="40" t="n"/>
      <c r="B485" s="41" t="n"/>
      <c r="C485" s="42" t="n"/>
      <c r="D485" s="29">
        <f>IF($B485="","",IFERROR(INDEX(機種マスタ!$A$4:$A$203,MATCH($B485,機種マスタ!$B$4:$B$203,0)),"未登録"))</f>
        <v/>
      </c>
      <c r="E485" s="29">
        <f>IF($B485="","",IFERROR(INDEX(機種マスタ!$C$4:$C$203,MATCH($B485,機種マスタ!$B$4:$B$203,0)),"-"))</f>
        <v/>
      </c>
      <c r="F485" s="29">
        <f>IF($B485="","",IFERROR(N(INDEX(機種マスタ!$D$4:$D$203,MATCH($B485,機種マスタ!$B$4:$B$203,0))),0))</f>
        <v/>
      </c>
      <c r="G485" s="29">
        <f>IF($B485="","",IF($C485="",1,$C485))</f>
        <v/>
      </c>
      <c r="H485" s="29">
        <f>IF($B485="","",F485*G485)</f>
        <v/>
      </c>
    </row>
    <row r="486">
      <c r="A486" s="40" t="n"/>
      <c r="B486" s="41" t="n"/>
      <c r="C486" s="42" t="n"/>
      <c r="D486" s="29">
        <f>IF($B486="","",IFERROR(INDEX(機種マスタ!$A$4:$A$203,MATCH($B486,機種マスタ!$B$4:$B$203,0)),"未登録"))</f>
        <v/>
      </c>
      <c r="E486" s="29">
        <f>IF($B486="","",IFERROR(INDEX(機種マスタ!$C$4:$C$203,MATCH($B486,機種マスタ!$B$4:$B$203,0)),"-"))</f>
        <v/>
      </c>
      <c r="F486" s="29">
        <f>IF($B486="","",IFERROR(N(INDEX(機種マスタ!$D$4:$D$203,MATCH($B486,機種マスタ!$B$4:$B$203,0))),0))</f>
        <v/>
      </c>
      <c r="G486" s="29">
        <f>IF($B486="","",IF($C486="",1,$C486))</f>
        <v/>
      </c>
      <c r="H486" s="29">
        <f>IF($B486="","",F486*G486)</f>
        <v/>
      </c>
    </row>
    <row r="487">
      <c r="A487" s="40" t="n"/>
      <c r="B487" s="41" t="n"/>
      <c r="C487" s="42" t="n"/>
      <c r="D487" s="29">
        <f>IF($B487="","",IFERROR(INDEX(機種マスタ!$A$4:$A$203,MATCH($B487,機種マスタ!$B$4:$B$203,0)),"未登録"))</f>
        <v/>
      </c>
      <c r="E487" s="29">
        <f>IF($B487="","",IFERROR(INDEX(機種マスタ!$C$4:$C$203,MATCH($B487,機種マスタ!$B$4:$B$203,0)),"-"))</f>
        <v/>
      </c>
      <c r="F487" s="29">
        <f>IF($B487="","",IFERROR(N(INDEX(機種マスタ!$D$4:$D$203,MATCH($B487,機種マスタ!$B$4:$B$203,0))),0))</f>
        <v/>
      </c>
      <c r="G487" s="29">
        <f>IF($B487="","",IF($C487="",1,$C487))</f>
        <v/>
      </c>
      <c r="H487" s="29">
        <f>IF($B487="","",F487*G487)</f>
        <v/>
      </c>
    </row>
    <row r="488">
      <c r="A488" s="40" t="n"/>
      <c r="B488" s="41" t="n"/>
      <c r="C488" s="42" t="n"/>
      <c r="D488" s="29">
        <f>IF($B488="","",IFERROR(INDEX(機種マスタ!$A$4:$A$203,MATCH($B488,機種マスタ!$B$4:$B$203,0)),"未登録"))</f>
        <v/>
      </c>
      <c r="E488" s="29">
        <f>IF($B488="","",IFERROR(INDEX(機種マスタ!$C$4:$C$203,MATCH($B488,機種マスタ!$B$4:$B$203,0)),"-"))</f>
        <v/>
      </c>
      <c r="F488" s="29">
        <f>IF($B488="","",IFERROR(N(INDEX(機種マスタ!$D$4:$D$203,MATCH($B488,機種マスタ!$B$4:$B$203,0))),0))</f>
        <v/>
      </c>
      <c r="G488" s="29">
        <f>IF($B488="","",IF($C488="",1,$C488))</f>
        <v/>
      </c>
      <c r="H488" s="29">
        <f>IF($B488="","",F488*G488)</f>
        <v/>
      </c>
    </row>
    <row r="489">
      <c r="A489" s="40" t="n"/>
      <c r="B489" s="41" t="n"/>
      <c r="C489" s="42" t="n"/>
      <c r="D489" s="29">
        <f>IF($B489="","",IFERROR(INDEX(機種マスタ!$A$4:$A$203,MATCH($B489,機種マスタ!$B$4:$B$203,0)),"未登録"))</f>
        <v/>
      </c>
      <c r="E489" s="29">
        <f>IF($B489="","",IFERROR(INDEX(機種マスタ!$C$4:$C$203,MATCH($B489,機種マスタ!$B$4:$B$203,0)),"-"))</f>
        <v/>
      </c>
      <c r="F489" s="29">
        <f>IF($B489="","",IFERROR(N(INDEX(機種マスタ!$D$4:$D$203,MATCH($B489,機種マスタ!$B$4:$B$203,0))),0))</f>
        <v/>
      </c>
      <c r="G489" s="29">
        <f>IF($B489="","",IF($C489="",1,$C489))</f>
        <v/>
      </c>
      <c r="H489" s="29">
        <f>IF($B489="","",F489*G489)</f>
        <v/>
      </c>
    </row>
    <row r="490">
      <c r="A490" s="40" t="n"/>
      <c r="B490" s="41" t="n"/>
      <c r="C490" s="42" t="n"/>
      <c r="D490" s="29">
        <f>IF($B490="","",IFERROR(INDEX(機種マスタ!$A$4:$A$203,MATCH($B490,機種マスタ!$B$4:$B$203,0)),"未登録"))</f>
        <v/>
      </c>
      <c r="E490" s="29">
        <f>IF($B490="","",IFERROR(INDEX(機種マスタ!$C$4:$C$203,MATCH($B490,機種マスタ!$B$4:$B$203,0)),"-"))</f>
        <v/>
      </c>
      <c r="F490" s="29">
        <f>IF($B490="","",IFERROR(N(INDEX(機種マスタ!$D$4:$D$203,MATCH($B490,機種マスタ!$B$4:$B$203,0))),0))</f>
        <v/>
      </c>
      <c r="G490" s="29">
        <f>IF($B490="","",IF($C490="",1,$C490))</f>
        <v/>
      </c>
      <c r="H490" s="29">
        <f>IF($B490="","",F490*G490)</f>
        <v/>
      </c>
    </row>
    <row r="491">
      <c r="A491" s="40" t="n"/>
      <c r="B491" s="41" t="n"/>
      <c r="C491" s="42" t="n"/>
      <c r="D491" s="29">
        <f>IF($B491="","",IFERROR(INDEX(機種マスタ!$A$4:$A$203,MATCH($B491,機種マスタ!$B$4:$B$203,0)),"未登録"))</f>
        <v/>
      </c>
      <c r="E491" s="29">
        <f>IF($B491="","",IFERROR(INDEX(機種マスタ!$C$4:$C$203,MATCH($B491,機種マスタ!$B$4:$B$203,0)),"-"))</f>
        <v/>
      </c>
      <c r="F491" s="29">
        <f>IF($B491="","",IFERROR(N(INDEX(機種マスタ!$D$4:$D$203,MATCH($B491,機種マスタ!$B$4:$B$203,0))),0))</f>
        <v/>
      </c>
      <c r="G491" s="29">
        <f>IF($B491="","",IF($C491="",1,$C491))</f>
        <v/>
      </c>
      <c r="H491" s="29">
        <f>IF($B491="","",F491*G491)</f>
        <v/>
      </c>
    </row>
    <row r="492">
      <c r="A492" s="40" t="n"/>
      <c r="B492" s="41" t="n"/>
      <c r="C492" s="42" t="n"/>
      <c r="D492" s="29">
        <f>IF($B492="","",IFERROR(INDEX(機種マスタ!$A$4:$A$203,MATCH($B492,機種マスタ!$B$4:$B$203,0)),"未登録"))</f>
        <v/>
      </c>
      <c r="E492" s="29">
        <f>IF($B492="","",IFERROR(INDEX(機種マスタ!$C$4:$C$203,MATCH($B492,機種マスタ!$B$4:$B$203,0)),"-"))</f>
        <v/>
      </c>
      <c r="F492" s="29">
        <f>IF($B492="","",IFERROR(N(INDEX(機種マスタ!$D$4:$D$203,MATCH($B492,機種マスタ!$B$4:$B$203,0))),0))</f>
        <v/>
      </c>
      <c r="G492" s="29">
        <f>IF($B492="","",IF($C492="",1,$C492))</f>
        <v/>
      </c>
      <c r="H492" s="29">
        <f>IF($B492="","",F492*G492)</f>
        <v/>
      </c>
    </row>
    <row r="493">
      <c r="A493" s="40" t="n"/>
      <c r="B493" s="41" t="n"/>
      <c r="C493" s="42" t="n"/>
      <c r="D493" s="29">
        <f>IF($B493="","",IFERROR(INDEX(機種マスタ!$A$4:$A$203,MATCH($B493,機種マスタ!$B$4:$B$203,0)),"未登録"))</f>
        <v/>
      </c>
      <c r="E493" s="29">
        <f>IF($B493="","",IFERROR(INDEX(機種マスタ!$C$4:$C$203,MATCH($B493,機種マスタ!$B$4:$B$203,0)),"-"))</f>
        <v/>
      </c>
      <c r="F493" s="29">
        <f>IF($B493="","",IFERROR(N(INDEX(機種マスタ!$D$4:$D$203,MATCH($B493,機種マスタ!$B$4:$B$203,0))),0))</f>
        <v/>
      </c>
      <c r="G493" s="29">
        <f>IF($B493="","",IF($C493="",1,$C493))</f>
        <v/>
      </c>
      <c r="H493" s="29">
        <f>IF($B493="","",F493*G493)</f>
        <v/>
      </c>
    </row>
    <row r="494">
      <c r="A494" s="40" t="n"/>
      <c r="B494" s="41" t="n"/>
      <c r="C494" s="42" t="n"/>
      <c r="D494" s="29">
        <f>IF($B494="","",IFERROR(INDEX(機種マスタ!$A$4:$A$203,MATCH($B494,機種マスタ!$B$4:$B$203,0)),"未登録"))</f>
        <v/>
      </c>
      <c r="E494" s="29">
        <f>IF($B494="","",IFERROR(INDEX(機種マスタ!$C$4:$C$203,MATCH($B494,機種マスタ!$B$4:$B$203,0)),"-"))</f>
        <v/>
      </c>
      <c r="F494" s="29">
        <f>IF($B494="","",IFERROR(N(INDEX(機種マスタ!$D$4:$D$203,MATCH($B494,機種マスタ!$B$4:$B$203,0))),0))</f>
        <v/>
      </c>
      <c r="G494" s="29">
        <f>IF($B494="","",IF($C494="",1,$C494))</f>
        <v/>
      </c>
      <c r="H494" s="29">
        <f>IF($B494="","",F494*G494)</f>
        <v/>
      </c>
    </row>
    <row r="495">
      <c r="A495" s="40" t="n"/>
      <c r="B495" s="41" t="n"/>
      <c r="C495" s="42" t="n"/>
      <c r="D495" s="29">
        <f>IF($B495="","",IFERROR(INDEX(機種マスタ!$A$4:$A$203,MATCH($B495,機種マスタ!$B$4:$B$203,0)),"未登録"))</f>
        <v/>
      </c>
      <c r="E495" s="29">
        <f>IF($B495="","",IFERROR(INDEX(機種マスタ!$C$4:$C$203,MATCH($B495,機種マスタ!$B$4:$B$203,0)),"-"))</f>
        <v/>
      </c>
      <c r="F495" s="29">
        <f>IF($B495="","",IFERROR(N(INDEX(機種マスタ!$D$4:$D$203,MATCH($B495,機種マスタ!$B$4:$B$203,0))),0))</f>
        <v/>
      </c>
      <c r="G495" s="29">
        <f>IF($B495="","",IF($C495="",1,$C495))</f>
        <v/>
      </c>
      <c r="H495" s="29">
        <f>IF($B495="","",F495*G495)</f>
        <v/>
      </c>
    </row>
    <row r="496">
      <c r="A496" s="40" t="n"/>
      <c r="B496" s="41" t="n"/>
      <c r="C496" s="42" t="n"/>
      <c r="D496" s="29">
        <f>IF($B496="","",IFERROR(INDEX(機種マスタ!$A$4:$A$203,MATCH($B496,機種マスタ!$B$4:$B$203,0)),"未登録"))</f>
        <v/>
      </c>
      <c r="E496" s="29">
        <f>IF($B496="","",IFERROR(INDEX(機種マスタ!$C$4:$C$203,MATCH($B496,機種マスタ!$B$4:$B$203,0)),"-"))</f>
        <v/>
      </c>
      <c r="F496" s="29">
        <f>IF($B496="","",IFERROR(N(INDEX(機種マスタ!$D$4:$D$203,MATCH($B496,機種マスタ!$B$4:$B$203,0))),0))</f>
        <v/>
      </c>
      <c r="G496" s="29">
        <f>IF($B496="","",IF($C496="",1,$C496))</f>
        <v/>
      </c>
      <c r="H496" s="29">
        <f>IF($B496="","",F496*G496)</f>
        <v/>
      </c>
    </row>
    <row r="497">
      <c r="A497" s="40" t="n"/>
      <c r="B497" s="41" t="n"/>
      <c r="C497" s="42" t="n"/>
      <c r="D497" s="29">
        <f>IF($B497="","",IFERROR(INDEX(機種マスタ!$A$4:$A$203,MATCH($B497,機種マスタ!$B$4:$B$203,0)),"未登録"))</f>
        <v/>
      </c>
      <c r="E497" s="29">
        <f>IF($B497="","",IFERROR(INDEX(機種マスタ!$C$4:$C$203,MATCH($B497,機種マスタ!$B$4:$B$203,0)),"-"))</f>
        <v/>
      </c>
      <c r="F497" s="29">
        <f>IF($B497="","",IFERROR(N(INDEX(機種マスタ!$D$4:$D$203,MATCH($B497,機種マスタ!$B$4:$B$203,0))),0))</f>
        <v/>
      </c>
      <c r="G497" s="29">
        <f>IF($B497="","",IF($C497="",1,$C497))</f>
        <v/>
      </c>
      <c r="H497" s="29">
        <f>IF($B497="","",F497*G497)</f>
        <v/>
      </c>
    </row>
    <row r="498">
      <c r="A498" s="40" t="n"/>
      <c r="B498" s="41" t="n"/>
      <c r="C498" s="42" t="n"/>
      <c r="D498" s="29">
        <f>IF($B498="","",IFERROR(INDEX(機種マスタ!$A$4:$A$203,MATCH($B498,機種マスタ!$B$4:$B$203,0)),"未登録"))</f>
        <v/>
      </c>
      <c r="E498" s="29">
        <f>IF($B498="","",IFERROR(INDEX(機種マスタ!$C$4:$C$203,MATCH($B498,機種マスタ!$B$4:$B$203,0)),"-"))</f>
        <v/>
      </c>
      <c r="F498" s="29">
        <f>IF($B498="","",IFERROR(N(INDEX(機種マスタ!$D$4:$D$203,MATCH($B498,機種マスタ!$B$4:$B$203,0))),0))</f>
        <v/>
      </c>
      <c r="G498" s="29">
        <f>IF($B498="","",IF($C498="",1,$C498))</f>
        <v/>
      </c>
      <c r="H498" s="29">
        <f>IF($B498="","",F498*G498)</f>
        <v/>
      </c>
    </row>
    <row r="499">
      <c r="A499" s="40" t="n"/>
      <c r="B499" s="41" t="n"/>
      <c r="C499" s="42" t="n"/>
      <c r="D499" s="29">
        <f>IF($B499="","",IFERROR(INDEX(機種マスタ!$A$4:$A$203,MATCH($B499,機種マスタ!$B$4:$B$203,0)),"未登録"))</f>
        <v/>
      </c>
      <c r="E499" s="29">
        <f>IF($B499="","",IFERROR(INDEX(機種マスタ!$C$4:$C$203,MATCH($B499,機種マスタ!$B$4:$B$203,0)),"-"))</f>
        <v/>
      </c>
      <c r="F499" s="29">
        <f>IF($B499="","",IFERROR(N(INDEX(機種マスタ!$D$4:$D$203,MATCH($B499,機種マスタ!$B$4:$B$203,0))),0))</f>
        <v/>
      </c>
      <c r="G499" s="29">
        <f>IF($B499="","",IF($C499="",1,$C499))</f>
        <v/>
      </c>
      <c r="H499" s="29">
        <f>IF($B499="","",F499*G499)</f>
        <v/>
      </c>
    </row>
    <row r="500">
      <c r="A500" s="40" t="n"/>
      <c r="B500" s="41" t="n"/>
      <c r="C500" s="42" t="n"/>
      <c r="D500" s="29">
        <f>IF($B500="","",IFERROR(INDEX(機種マスタ!$A$4:$A$203,MATCH($B500,機種マスタ!$B$4:$B$203,0)),"未登録"))</f>
        <v/>
      </c>
      <c r="E500" s="29">
        <f>IF($B500="","",IFERROR(INDEX(機種マスタ!$C$4:$C$203,MATCH($B500,機種マスタ!$B$4:$B$203,0)),"-"))</f>
        <v/>
      </c>
      <c r="F500" s="29">
        <f>IF($B500="","",IFERROR(N(INDEX(機種マスタ!$D$4:$D$203,MATCH($B500,機種マスタ!$B$4:$B$203,0))),0))</f>
        <v/>
      </c>
      <c r="G500" s="29">
        <f>IF($B500="","",IF($C500="",1,$C500))</f>
        <v/>
      </c>
      <c r="H500" s="29">
        <f>IF($B500="","",F500*G500)</f>
        <v/>
      </c>
    </row>
    <row r="501">
      <c r="A501" s="40" t="n"/>
      <c r="B501" s="41" t="n"/>
      <c r="C501" s="42" t="n"/>
      <c r="D501" s="29">
        <f>IF($B501="","",IFERROR(INDEX(機種マスタ!$A$4:$A$203,MATCH($B501,機種マスタ!$B$4:$B$203,0)),"未登録"))</f>
        <v/>
      </c>
      <c r="E501" s="29">
        <f>IF($B501="","",IFERROR(INDEX(機種マスタ!$C$4:$C$203,MATCH($B501,機種マスタ!$B$4:$B$203,0)),"-"))</f>
        <v/>
      </c>
      <c r="F501" s="29">
        <f>IF($B501="","",IFERROR(N(INDEX(機種マスタ!$D$4:$D$203,MATCH($B501,機種マスタ!$B$4:$B$203,0))),0))</f>
        <v/>
      </c>
      <c r="G501" s="29">
        <f>IF($B501="","",IF($C501="",1,$C501))</f>
        <v/>
      </c>
      <c r="H501" s="29">
        <f>IF($B501="","",F501*G501)</f>
        <v/>
      </c>
    </row>
    <row r="502">
      <c r="A502" s="40" t="n"/>
      <c r="B502" s="41" t="n"/>
      <c r="C502" s="42" t="n"/>
      <c r="D502" s="29">
        <f>IF($B502="","",IFERROR(INDEX(機種マスタ!$A$4:$A$203,MATCH($B502,機種マスタ!$B$4:$B$203,0)),"未登録"))</f>
        <v/>
      </c>
      <c r="E502" s="29">
        <f>IF($B502="","",IFERROR(INDEX(機種マスタ!$C$4:$C$203,MATCH($B502,機種マスタ!$B$4:$B$203,0)),"-"))</f>
        <v/>
      </c>
      <c r="F502" s="29">
        <f>IF($B502="","",IFERROR(N(INDEX(機種マスタ!$D$4:$D$203,MATCH($B502,機種マスタ!$B$4:$B$203,0))),0))</f>
        <v/>
      </c>
      <c r="G502" s="29">
        <f>IF($B502="","",IF($C502="",1,$C502))</f>
        <v/>
      </c>
      <c r="H502" s="29">
        <f>IF($B502="","",F502*G502)</f>
        <v/>
      </c>
    </row>
    <row r="503">
      <c r="A503" s="40" t="n"/>
      <c r="B503" s="41" t="n"/>
      <c r="C503" s="42" t="n"/>
      <c r="D503" s="29">
        <f>IF($B503="","",IFERROR(INDEX(機種マスタ!$A$4:$A$203,MATCH($B503,機種マスタ!$B$4:$B$203,0)),"未登録"))</f>
        <v/>
      </c>
      <c r="E503" s="29">
        <f>IF($B503="","",IFERROR(INDEX(機種マスタ!$C$4:$C$203,MATCH($B503,機種マスタ!$B$4:$B$203,0)),"-"))</f>
        <v/>
      </c>
      <c r="F503" s="29">
        <f>IF($B503="","",IFERROR(N(INDEX(機種マスタ!$D$4:$D$203,MATCH($B503,機種マスタ!$B$4:$B$203,0))),0))</f>
        <v/>
      </c>
      <c r="G503" s="29">
        <f>IF($B503="","",IF($C503="",1,$C503))</f>
        <v/>
      </c>
      <c r="H503" s="29">
        <f>IF($B503="","",F503*G503)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D4:H503">
    <cfRule type="expression" priority="1" dxfId="0">
      <formula>AND($B4&lt;&gt;"",$F4&gt;0)</formula>
    </cfRule>
    <cfRule type="expression" priority="2" dxfId="9">
      <formula>$D4="未登録"</formula>
    </cfRule>
  </conditionalFormatting>
  <dataValidations count="3">
    <dataValidation sqref="A4:A503" showDropDown="0" showInputMessage="0" showErrorMessage="0" allowBlank="1" errorTitle="入力エラー" error="日付(例 10/3)を入力してください。" type="date" operator="greaterThan">
      <formula1>36526</formula1>
    </dataValidation>
    <dataValidation sqref="B4:B503" showDropDown="0" showInputMessage="0" showErrorMessage="0" allowBlank="1" errorTitle="入力エラー" error="機種マスタに登録されている機種名を選んでください。" type="list">
      <formula1>=機種マスタ!$B$4:$B$203</formula1>
    </dataValidation>
    <dataValidation sqref="C4:C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2" customWidth="1" min="7" max="7"/>
    <col width="14" customWidth="1" min="8" max="8"/>
    <col width="10" customWidth="1" min="9" max="9"/>
  </cols>
  <sheetData>
    <row r="1">
      <c r="A1" s="1" t="inlineStr">
        <is>
          <t>機種マスタ(対象機種と戦略Pt)</t>
        </is>
      </c>
    </row>
    <row r="2">
      <c r="A2" s="22" t="inlineStr">
        <is>
          <t>画像の「SB機種」一覧を登録しています。機種の追加・戦略Ptの変更は黄色いセルを編集してください(戦略Ptが空欄の機種は加算されません)。</t>
        </is>
      </c>
    </row>
    <row r="3" ht="30" customHeight="1">
      <c r="A3" s="9" t="inlineStr">
        <is>
          <t>カテゴリ</t>
        </is>
      </c>
      <c r="B3" s="9" t="inlineStr">
        <is>
          <t>機種名</t>
        </is>
      </c>
      <c r="C3" s="9" t="inlineStr">
        <is>
          <t>機種Pt</t>
        </is>
      </c>
      <c r="D3" s="9" t="inlineStr">
        <is>
          <t>戦略Pt
(1台あたり)</t>
        </is>
      </c>
      <c r="E3" s="9" t="inlineStr">
        <is>
          <t>販売台数</t>
        </is>
      </c>
      <c r="F3" s="9" t="inlineStr">
        <is>
          <t>獲得戦略Pt</t>
        </is>
      </c>
      <c r="H3" s="9" t="inlineStr">
        <is>
          <t>戦略Pt 合計</t>
        </is>
      </c>
      <c r="I3" s="39">
        <f>SUM(F4:F203)</f>
        <v/>
      </c>
    </row>
    <row r="4">
      <c r="A4" s="42" t="inlineStr">
        <is>
          <t>iPhone</t>
        </is>
      </c>
      <c r="B4" s="41" t="inlineStr">
        <is>
          <t>iPhone 18 Pro(256GB)</t>
        </is>
      </c>
      <c r="C4" s="42" t="inlineStr">
        <is>
          <t>H</t>
        </is>
      </c>
      <c r="D4" s="42" t="n">
        <v>2</v>
      </c>
      <c r="E4" s="29">
        <f>IF($B4="","",SUMIFS(機種販売入力!$G$4:$G$503,機種販売入力!$B$4:$B$503,$B4))</f>
        <v/>
      </c>
      <c r="F4" s="29">
        <f>IF($B4="","",N($D4)*E4)</f>
        <v/>
      </c>
    </row>
    <row r="5">
      <c r="A5" s="42" t="inlineStr">
        <is>
          <t>iPhone</t>
        </is>
      </c>
      <c r="B5" s="41" t="inlineStr">
        <is>
          <t>iPhone 18 Pro(512GB)</t>
        </is>
      </c>
      <c r="C5" s="42" t="inlineStr">
        <is>
          <t>H</t>
        </is>
      </c>
      <c r="D5" s="42" t="n">
        <v>2</v>
      </c>
      <c r="E5" s="29">
        <f>IF($B5="","",SUMIFS(機種販売入力!$G$4:$G$503,機種販売入力!$B$4:$B$503,$B5))</f>
        <v/>
      </c>
      <c r="F5" s="29">
        <f>IF($B5="","",N($D5)*E5)</f>
        <v/>
      </c>
    </row>
    <row r="6">
      <c r="A6" s="42" t="inlineStr">
        <is>
          <t>iPhone</t>
        </is>
      </c>
      <c r="B6" s="41" t="inlineStr">
        <is>
          <t>iPhone 18 Pro(1TB)</t>
        </is>
      </c>
      <c r="C6" s="42" t="inlineStr">
        <is>
          <t>H</t>
        </is>
      </c>
      <c r="D6" s="42" t="n">
        <v>2</v>
      </c>
      <c r="E6" s="29">
        <f>IF($B6="","",SUMIFS(機種販売入力!$G$4:$G$503,機種販売入力!$B$4:$B$503,$B6))</f>
        <v/>
      </c>
      <c r="F6" s="29">
        <f>IF($B6="","",N($D6)*E6)</f>
        <v/>
      </c>
    </row>
    <row r="7">
      <c r="A7" s="42" t="inlineStr">
        <is>
          <t>iPhone</t>
        </is>
      </c>
      <c r="B7" s="41" t="inlineStr">
        <is>
          <t>iPhone 18 Pro(2TB)</t>
        </is>
      </c>
      <c r="C7" s="42" t="inlineStr">
        <is>
          <t>H</t>
        </is>
      </c>
      <c r="D7" s="42" t="n">
        <v>2</v>
      </c>
      <c r="E7" s="29">
        <f>IF($B7="","",SUMIFS(機種販売入力!$G$4:$G$503,機種販売入力!$B$4:$B$503,$B7))</f>
        <v/>
      </c>
      <c r="F7" s="29">
        <f>IF($B7="","",N($D7)*E7)</f>
        <v/>
      </c>
    </row>
    <row r="8">
      <c r="A8" s="42" t="inlineStr">
        <is>
          <t>iPhone</t>
        </is>
      </c>
      <c r="B8" s="41" t="inlineStr">
        <is>
          <t>iPhone 18 Pro Max(256GB)</t>
        </is>
      </c>
      <c r="C8" s="42" t="inlineStr">
        <is>
          <t>H</t>
        </is>
      </c>
      <c r="D8" s="42" t="n">
        <v>2</v>
      </c>
      <c r="E8" s="29">
        <f>IF($B8="","",SUMIFS(機種販売入力!$G$4:$G$503,機種販売入力!$B$4:$B$503,$B8))</f>
        <v/>
      </c>
      <c r="F8" s="29">
        <f>IF($B8="","",N($D8)*E8)</f>
        <v/>
      </c>
    </row>
    <row r="9">
      <c r="A9" s="42" t="inlineStr">
        <is>
          <t>iPhone</t>
        </is>
      </c>
      <c r="B9" s="41" t="inlineStr">
        <is>
          <t>iPhone 18 Pro Max(512GB)</t>
        </is>
      </c>
      <c r="C9" s="42" t="inlineStr">
        <is>
          <t>H</t>
        </is>
      </c>
      <c r="D9" s="42" t="n">
        <v>2</v>
      </c>
      <c r="E9" s="29">
        <f>IF($B9="","",SUMIFS(機種販売入力!$G$4:$G$503,機種販売入力!$B$4:$B$503,$B9))</f>
        <v/>
      </c>
      <c r="F9" s="29">
        <f>IF($B9="","",N($D9)*E9)</f>
        <v/>
      </c>
    </row>
    <row r="10">
      <c r="A10" s="42" t="inlineStr">
        <is>
          <t>iPhone</t>
        </is>
      </c>
      <c r="B10" s="41" t="inlineStr">
        <is>
          <t>iPhone 18 Pro Max(1TB)</t>
        </is>
      </c>
      <c r="C10" s="42" t="inlineStr">
        <is>
          <t>H</t>
        </is>
      </c>
      <c r="D10" s="42" t="n">
        <v>2</v>
      </c>
      <c r="E10" s="29">
        <f>IF($B10="","",SUMIFS(機種販売入力!$G$4:$G$503,機種販売入力!$B$4:$B$503,$B10))</f>
        <v/>
      </c>
      <c r="F10" s="29">
        <f>IF($B10="","",N($D10)*E10)</f>
        <v/>
      </c>
    </row>
    <row r="11">
      <c r="A11" s="42" t="inlineStr">
        <is>
          <t>iPhone</t>
        </is>
      </c>
      <c r="B11" s="41" t="inlineStr">
        <is>
          <t>iPhone 18 Pro Max(2TB)</t>
        </is>
      </c>
      <c r="C11" s="42" t="inlineStr">
        <is>
          <t>H</t>
        </is>
      </c>
      <c r="D11" s="42" t="n">
        <v>2</v>
      </c>
      <c r="E11" s="29">
        <f>IF($B11="","",SUMIFS(機種販売入力!$G$4:$G$503,機種販売入力!$B$4:$B$503,$B11))</f>
        <v/>
      </c>
      <c r="F11" s="29">
        <f>IF($B11="","",N($D11)*E11)</f>
        <v/>
      </c>
    </row>
    <row r="12">
      <c r="A12" s="42" t="inlineStr">
        <is>
          <t>iPhone</t>
        </is>
      </c>
      <c r="B12" s="41" t="inlineStr">
        <is>
          <t>iPhone 17(256GB)</t>
        </is>
      </c>
      <c r="C12" s="42" t="inlineStr">
        <is>
          <t>H</t>
        </is>
      </c>
      <c r="D12" s="42" t="n">
        <v>2</v>
      </c>
      <c r="E12" s="29">
        <f>IF($B12="","",SUMIFS(機種販売入力!$G$4:$G$503,機種販売入力!$B$4:$B$503,$B12))</f>
        <v/>
      </c>
      <c r="F12" s="29">
        <f>IF($B12="","",N($D12)*E12)</f>
        <v/>
      </c>
    </row>
    <row r="13">
      <c r="A13" s="42" t="inlineStr">
        <is>
          <t>Pixel</t>
        </is>
      </c>
      <c r="B13" s="41" t="inlineStr">
        <is>
          <t>Google Pixel 11(256GB)</t>
        </is>
      </c>
      <c r="C13" s="42" t="inlineStr">
        <is>
          <t>H</t>
        </is>
      </c>
      <c r="D13" s="42" t="n">
        <v>4</v>
      </c>
      <c r="E13" s="29">
        <f>IF($B13="","",SUMIFS(機種販売入力!$G$4:$G$503,機種販売入力!$B$4:$B$503,$B13))</f>
        <v/>
      </c>
      <c r="F13" s="29">
        <f>IF($B13="","",N($D13)*E13)</f>
        <v/>
      </c>
    </row>
    <row r="14">
      <c r="A14" s="42" t="inlineStr">
        <is>
          <t>Pixel</t>
        </is>
      </c>
      <c r="B14" s="41" t="inlineStr">
        <is>
          <t>Google Pixel 11(512GB)</t>
        </is>
      </c>
      <c r="C14" s="42" t="inlineStr">
        <is>
          <t>H</t>
        </is>
      </c>
      <c r="D14" s="42" t="n">
        <v>4</v>
      </c>
      <c r="E14" s="29">
        <f>IF($B14="","",SUMIFS(機種販売入力!$G$4:$G$503,機種販売入力!$B$4:$B$503,$B14))</f>
        <v/>
      </c>
      <c r="F14" s="29">
        <f>IF($B14="","",N($D14)*E14)</f>
        <v/>
      </c>
    </row>
    <row r="15">
      <c r="A15" s="42" t="inlineStr">
        <is>
          <t>Pixel</t>
        </is>
      </c>
      <c r="B15" s="41" t="inlineStr">
        <is>
          <t>Google Pixel 11 Pro(256GB)</t>
        </is>
      </c>
      <c r="C15" s="42" t="inlineStr">
        <is>
          <t>H</t>
        </is>
      </c>
      <c r="D15" s="42" t="n">
        <v>4</v>
      </c>
      <c r="E15" s="29">
        <f>IF($B15="","",SUMIFS(機種販売入力!$G$4:$G$503,機種販売入力!$B$4:$B$503,$B15))</f>
        <v/>
      </c>
      <c r="F15" s="29">
        <f>IF($B15="","",N($D15)*E15)</f>
        <v/>
      </c>
    </row>
    <row r="16">
      <c r="A16" s="42" t="inlineStr">
        <is>
          <t>Pixel</t>
        </is>
      </c>
      <c r="B16" s="41" t="inlineStr">
        <is>
          <t>Google Pixel 11 Pro(512GB)</t>
        </is>
      </c>
      <c r="C16" s="42" t="inlineStr">
        <is>
          <t>H</t>
        </is>
      </c>
      <c r="D16" s="42" t="n">
        <v>4</v>
      </c>
      <c r="E16" s="29">
        <f>IF($B16="","",SUMIFS(機種販売入力!$G$4:$G$503,機種販売入力!$B$4:$B$503,$B16))</f>
        <v/>
      </c>
      <c r="F16" s="29">
        <f>IF($B16="","",N($D16)*E16)</f>
        <v/>
      </c>
    </row>
    <row r="17">
      <c r="A17" s="42" t="inlineStr">
        <is>
          <t>Pixel</t>
        </is>
      </c>
      <c r="B17" s="41" t="inlineStr">
        <is>
          <t>Google Pixel 11 Pro XL(256GB)</t>
        </is>
      </c>
      <c r="C17" s="42" t="inlineStr">
        <is>
          <t>H</t>
        </is>
      </c>
      <c r="D17" s="42" t="n">
        <v>4</v>
      </c>
      <c r="E17" s="29">
        <f>IF($B17="","",SUMIFS(機種販売入力!$G$4:$G$503,機種販売入力!$B$4:$B$503,$B17))</f>
        <v/>
      </c>
      <c r="F17" s="29">
        <f>IF($B17="","",N($D17)*E17)</f>
        <v/>
      </c>
    </row>
    <row r="18">
      <c r="A18" s="42" t="inlineStr">
        <is>
          <t>Pixel</t>
        </is>
      </c>
      <c r="B18" s="41" t="inlineStr">
        <is>
          <t>Google Pixel 11 Pro XL(512GB)</t>
        </is>
      </c>
      <c r="C18" s="42" t="inlineStr">
        <is>
          <t>H</t>
        </is>
      </c>
      <c r="D18" s="42" t="n">
        <v>4</v>
      </c>
      <c r="E18" s="29">
        <f>IF($B18="","",SUMIFS(機種販売入力!$G$4:$G$503,機種販売入力!$B$4:$B$503,$B18))</f>
        <v/>
      </c>
      <c r="F18" s="29">
        <f>IF($B18="","",N($D18)*E18)</f>
        <v/>
      </c>
    </row>
    <row r="19">
      <c r="A19" s="42" t="inlineStr">
        <is>
          <t>Pixel</t>
        </is>
      </c>
      <c r="B19" s="41" t="inlineStr">
        <is>
          <t>Google Pixel 11 Pro Fold(256GB)</t>
        </is>
      </c>
      <c r="C19" s="42" t="inlineStr">
        <is>
          <t>H</t>
        </is>
      </c>
      <c r="D19" s="42" t="n">
        <v>4</v>
      </c>
      <c r="E19" s="29">
        <f>IF($B19="","",SUMIFS(機種販売入力!$G$4:$G$503,機種販売入力!$B$4:$B$503,$B19))</f>
        <v/>
      </c>
      <c r="F19" s="29">
        <f>IF($B19="","",N($D19)*E19)</f>
        <v/>
      </c>
    </row>
    <row r="20">
      <c r="A20" s="42" t="inlineStr">
        <is>
          <t>Pixel</t>
        </is>
      </c>
      <c r="B20" s="41" t="inlineStr">
        <is>
          <t>Google Pixel 11 Pro Fold(512GB)</t>
        </is>
      </c>
      <c r="C20" s="42" t="inlineStr">
        <is>
          <t>H</t>
        </is>
      </c>
      <c r="D20" s="42" t="n">
        <v>4</v>
      </c>
      <c r="E20" s="29">
        <f>IF($B20="","",SUMIFS(機種販売入力!$G$4:$G$503,機種販売入力!$B$4:$B$503,$B20))</f>
        <v/>
      </c>
      <c r="F20" s="29">
        <f>IF($B20="","",N($D20)*E20)</f>
        <v/>
      </c>
    </row>
    <row r="21">
      <c r="A21" s="42" t="inlineStr">
        <is>
          <t>Pixel</t>
        </is>
      </c>
      <c r="B21" s="41" t="inlineStr">
        <is>
          <t>Google Pixel 10a(128GB)</t>
        </is>
      </c>
      <c r="C21" s="42" t="inlineStr">
        <is>
          <t>M</t>
        </is>
      </c>
      <c r="D21" s="42" t="n">
        <v>4</v>
      </c>
      <c r="E21" s="29">
        <f>IF($B21="","",SUMIFS(機種販売入力!$G$4:$G$503,機種販売入力!$B$4:$B$503,$B21))</f>
        <v/>
      </c>
      <c r="F21" s="29">
        <f>IF($B21="","",N($D21)*E21)</f>
        <v/>
      </c>
    </row>
    <row r="22">
      <c r="A22" s="42" t="inlineStr">
        <is>
          <t>Pixel</t>
        </is>
      </c>
      <c r="B22" s="41" t="inlineStr">
        <is>
          <t>Google Pixel 10a(256GB)</t>
        </is>
      </c>
      <c r="C22" s="42" t="inlineStr">
        <is>
          <t>M</t>
        </is>
      </c>
      <c r="D22" s="42" t="n">
        <v>4</v>
      </c>
      <c r="E22" s="29">
        <f>IF($B22="","",SUMIFS(機種販売入力!$G$4:$G$503,機種販売入力!$B$4:$B$503,$B22))</f>
        <v/>
      </c>
      <c r="F22" s="29">
        <f>IF($B22="","",N($D22)*E22)</f>
        <v/>
      </c>
    </row>
    <row r="23">
      <c r="A23" s="42" t="inlineStr">
        <is>
          <t>Android</t>
        </is>
      </c>
      <c r="B23" s="41" t="inlineStr">
        <is>
          <t>Xperia 1 VIII</t>
        </is>
      </c>
      <c r="C23" s="42" t="inlineStr">
        <is>
          <t>H</t>
        </is>
      </c>
      <c r="D23" s="42" t="n">
        <v>2</v>
      </c>
      <c r="E23" s="29">
        <f>IF($B23="","",SUMIFS(機種販売入力!$G$4:$G$503,機種販売入力!$B$4:$B$503,$B23))</f>
        <v/>
      </c>
      <c r="F23" s="29">
        <f>IF($B23="","",N($D23)*E23)</f>
        <v/>
      </c>
    </row>
    <row r="24">
      <c r="A24" s="42" t="inlineStr">
        <is>
          <t>Android</t>
        </is>
      </c>
      <c r="B24" s="41" t="inlineStr">
        <is>
          <t>AQUOS R11</t>
        </is>
      </c>
      <c r="C24" s="42" t="inlineStr">
        <is>
          <t>M</t>
        </is>
      </c>
      <c r="D24" s="42" t="n">
        <v>2</v>
      </c>
      <c r="E24" s="29">
        <f>IF($B24="","",SUMIFS(機種販売入力!$G$4:$G$503,機種販売入力!$B$4:$B$503,$B24))</f>
        <v/>
      </c>
      <c r="F24" s="29">
        <f>IF($B24="","",N($D24)*E24)</f>
        <v/>
      </c>
    </row>
    <row r="25">
      <c r="A25" s="42" t="inlineStr">
        <is>
          <t>Android</t>
        </is>
      </c>
      <c r="B25" s="41" t="inlineStr">
        <is>
          <t>AQUOS sense10</t>
        </is>
      </c>
      <c r="C25" s="42" t="inlineStr">
        <is>
          <t>M</t>
        </is>
      </c>
      <c r="D25" s="42" t="n">
        <v>2</v>
      </c>
      <c r="E25" s="29">
        <f>IF($B25="","",SUMIFS(機種販売入力!$G$4:$G$503,機種販売入力!$B$4:$B$503,$B25))</f>
        <v/>
      </c>
      <c r="F25" s="29">
        <f>IF($B25="","",N($D25)*E25)</f>
        <v/>
      </c>
    </row>
    <row r="26">
      <c r="A26" s="42" t="inlineStr">
        <is>
          <t>Android</t>
        </is>
      </c>
      <c r="B26" s="41" t="inlineStr">
        <is>
          <t>AQUOS wish6</t>
        </is>
      </c>
      <c r="C26" s="42" t="inlineStr">
        <is>
          <t>L</t>
        </is>
      </c>
      <c r="D26" s="42" t="n"/>
      <c r="E26" s="29">
        <f>IF($B26="","",SUMIFS(機種販売入力!$G$4:$G$503,機種販売入力!$B$4:$B$503,$B26))</f>
        <v/>
      </c>
      <c r="F26" s="29">
        <f>IF($B26="","",N($D26)*E26)</f>
        <v/>
      </c>
    </row>
    <row r="27">
      <c r="A27" s="42" t="inlineStr">
        <is>
          <t>Android</t>
        </is>
      </c>
      <c r="B27" s="41" t="inlineStr">
        <is>
          <t>REDMI 15 5G</t>
        </is>
      </c>
      <c r="C27" s="42" t="inlineStr">
        <is>
          <t>L</t>
        </is>
      </c>
      <c r="D27" s="42" t="n"/>
      <c r="E27" s="29">
        <f>IF($B27="","",SUMIFS(機種販売入力!$G$4:$G$503,機種販売入力!$B$4:$B$503,$B27))</f>
        <v/>
      </c>
      <c r="F27" s="29">
        <f>IF($B27="","",N($D27)*E27)</f>
        <v/>
      </c>
    </row>
    <row r="28">
      <c r="A28" s="42" t="inlineStr">
        <is>
          <t>Android</t>
        </is>
      </c>
      <c r="B28" s="41" t="inlineStr">
        <is>
          <t>moto g37</t>
        </is>
      </c>
      <c r="C28" s="42" t="inlineStr">
        <is>
          <t>L</t>
        </is>
      </c>
      <c r="D28" s="42" t="n"/>
      <c r="E28" s="29">
        <f>IF($B28="","",SUMIFS(機種販売入力!$G$4:$G$503,機種販売入力!$B$4:$B$503,$B28))</f>
        <v/>
      </c>
      <c r="F28" s="29">
        <f>IF($B28="","",N($D28)*E28)</f>
        <v/>
      </c>
    </row>
    <row r="29">
      <c r="A29" s="42" t="inlineStr">
        <is>
          <t>Android</t>
        </is>
      </c>
      <c r="B29" s="41" t="inlineStr">
        <is>
          <t>motorola edge 60s pro</t>
        </is>
      </c>
      <c r="C29" s="42" t="inlineStr">
        <is>
          <t>M</t>
        </is>
      </c>
      <c r="D29" s="42" t="n">
        <v>4</v>
      </c>
      <c r="E29" s="29">
        <f>IF($B29="","",SUMIFS(機種販売入力!$G$4:$G$503,機種販売入力!$B$4:$B$503,$B29))</f>
        <v/>
      </c>
      <c r="F29" s="29">
        <f>IF($B29="","",N($D29)*E29)</f>
        <v/>
      </c>
    </row>
    <row r="30">
      <c r="A30" s="42" t="inlineStr">
        <is>
          <t>Android</t>
        </is>
      </c>
      <c r="B30" s="41" t="inlineStr">
        <is>
          <t>motorola razr 60s</t>
        </is>
      </c>
      <c r="C30" s="42" t="inlineStr">
        <is>
          <t>M</t>
        </is>
      </c>
      <c r="D30" s="42" t="n">
        <v>4</v>
      </c>
      <c r="E30" s="29">
        <f>IF($B30="","",SUMIFS(機種販売入力!$G$4:$G$503,機種販売入力!$B$4:$B$503,$B30))</f>
        <v/>
      </c>
      <c r="F30" s="29">
        <f>IF($B30="","",N($D30)*E30)</f>
        <v/>
      </c>
    </row>
    <row r="31">
      <c r="A31" s="42" t="inlineStr">
        <is>
          <t>Android</t>
        </is>
      </c>
      <c r="B31" s="41" t="inlineStr">
        <is>
          <t>Samsung Galaxy A57 5G</t>
        </is>
      </c>
      <c r="C31" s="42" t="inlineStr">
        <is>
          <t>M</t>
        </is>
      </c>
      <c r="D31" s="42" t="n">
        <v>4</v>
      </c>
      <c r="E31" s="29">
        <f>IF($B31="","",SUMIFS(機種販売入力!$G$4:$G$503,機種販売入力!$B$4:$B$503,$B31))</f>
        <v/>
      </c>
      <c r="F31" s="29">
        <f>IF($B31="","",N($D31)*E31)</f>
        <v/>
      </c>
    </row>
    <row r="32">
      <c r="A32" s="42" t="inlineStr">
        <is>
          <t>Android</t>
        </is>
      </c>
      <c r="B32" s="41" t="inlineStr">
        <is>
          <t>Samsung Galaxy Z Fold8 Ultra(256GB)</t>
        </is>
      </c>
      <c r="C32" s="42" t="inlineStr">
        <is>
          <t>H</t>
        </is>
      </c>
      <c r="D32" s="42" t="n">
        <v>4</v>
      </c>
      <c r="E32" s="29">
        <f>IF($B32="","",SUMIFS(機種販売入力!$G$4:$G$503,機種販売入力!$B$4:$B$503,$B32))</f>
        <v/>
      </c>
      <c r="F32" s="29">
        <f>IF($B32="","",N($D32)*E32)</f>
        <v/>
      </c>
    </row>
    <row r="33">
      <c r="A33" s="42" t="inlineStr">
        <is>
          <t>Android</t>
        </is>
      </c>
      <c r="B33" s="41" t="inlineStr">
        <is>
          <t>Samsung Galaxy Z Fold8 Ultra(512GB)</t>
        </is>
      </c>
      <c r="C33" s="42" t="inlineStr">
        <is>
          <t>H</t>
        </is>
      </c>
      <c r="D33" s="42" t="n">
        <v>4</v>
      </c>
      <c r="E33" s="29">
        <f>IF($B33="","",SUMIFS(機種販売入力!$G$4:$G$503,機種販売入力!$B$4:$B$503,$B33))</f>
        <v/>
      </c>
      <c r="F33" s="29">
        <f>IF($B33="","",N($D33)*E33)</f>
        <v/>
      </c>
    </row>
    <row r="34">
      <c r="A34" s="42" t="inlineStr">
        <is>
          <t>Android</t>
        </is>
      </c>
      <c r="B34" s="41" t="inlineStr">
        <is>
          <t>Samsung Galaxy Z Fold8 Ultra(1T)</t>
        </is>
      </c>
      <c r="C34" s="42" t="inlineStr">
        <is>
          <t>H</t>
        </is>
      </c>
      <c r="D34" s="42" t="n">
        <v>4</v>
      </c>
      <c r="E34" s="29">
        <f>IF($B34="","",SUMIFS(機種販売入力!$G$4:$G$503,機種販売入力!$B$4:$B$503,$B34))</f>
        <v/>
      </c>
      <c r="F34" s="29">
        <f>IF($B34="","",N($D34)*E34)</f>
        <v/>
      </c>
    </row>
    <row r="35">
      <c r="A35" s="42" t="inlineStr">
        <is>
          <t>Android</t>
        </is>
      </c>
      <c r="B35" s="41" t="inlineStr">
        <is>
          <t>Samsung Galaxy Z Fold8</t>
        </is>
      </c>
      <c r="C35" s="42" t="inlineStr">
        <is>
          <t>H</t>
        </is>
      </c>
      <c r="D35" s="42" t="n">
        <v>4</v>
      </c>
      <c r="E35" s="29">
        <f>IF($B35="","",SUMIFS(機種販売入力!$G$4:$G$503,機種販売入力!$B$4:$B$503,$B35))</f>
        <v/>
      </c>
      <c r="F35" s="29">
        <f>IF($B35="","",N($D35)*E35)</f>
        <v/>
      </c>
    </row>
    <row r="36">
      <c r="A36" s="42" t="inlineStr">
        <is>
          <t>Android</t>
        </is>
      </c>
      <c r="B36" s="41" t="inlineStr">
        <is>
          <t>Samsung Galaxy Z Flip8</t>
        </is>
      </c>
      <c r="C36" s="42" t="inlineStr">
        <is>
          <t>H</t>
        </is>
      </c>
      <c r="D36" s="42" t="n">
        <v>4</v>
      </c>
      <c r="E36" s="29">
        <f>IF($B36="","",SUMIFS(機種販売入力!$G$4:$G$503,機種販売入力!$B$4:$B$503,$B36))</f>
        <v/>
      </c>
      <c r="F36" s="29">
        <f>IF($B36="","",N($D36)*E36)</f>
        <v/>
      </c>
    </row>
    <row r="37">
      <c r="A37" s="42" t="inlineStr">
        <is>
          <t>Android</t>
        </is>
      </c>
      <c r="B37" s="41" t="inlineStr">
        <is>
          <t>Samsung Galaxy S26(256GB)</t>
        </is>
      </c>
      <c r="C37" s="42" t="inlineStr">
        <is>
          <t>H</t>
        </is>
      </c>
      <c r="D37" s="42" t="n">
        <v>4</v>
      </c>
      <c r="E37" s="29">
        <f>IF($B37="","",SUMIFS(機種販売入力!$G$4:$G$503,機種販売入力!$B$4:$B$503,$B37))</f>
        <v/>
      </c>
      <c r="F37" s="29">
        <f>IF($B37="","",N($D37)*E37)</f>
        <v/>
      </c>
    </row>
    <row r="38">
      <c r="A38" s="42" t="inlineStr">
        <is>
          <t>Android</t>
        </is>
      </c>
      <c r="B38" s="41" t="inlineStr">
        <is>
          <t>Samsung Galaxy S26(512GB)</t>
        </is>
      </c>
      <c r="C38" s="42" t="inlineStr">
        <is>
          <t>H</t>
        </is>
      </c>
      <c r="D38" s="42" t="n">
        <v>4</v>
      </c>
      <c r="E38" s="29">
        <f>IF($B38="","",SUMIFS(機種販売入力!$G$4:$G$503,機種販売入力!$B$4:$B$503,$B38))</f>
        <v/>
      </c>
      <c r="F38" s="29">
        <f>IF($B38="","",N($D38)*E38)</f>
        <v/>
      </c>
    </row>
    <row r="39">
      <c r="A39" s="42" t="inlineStr">
        <is>
          <t>Android</t>
        </is>
      </c>
      <c r="B39" s="41" t="inlineStr">
        <is>
          <t>Samsung Galaxy S26+(256GB)</t>
        </is>
      </c>
      <c r="C39" s="42" t="inlineStr">
        <is>
          <t>H</t>
        </is>
      </c>
      <c r="D39" s="42" t="n">
        <v>4</v>
      </c>
      <c r="E39" s="29">
        <f>IF($B39="","",SUMIFS(機種販売入力!$G$4:$G$503,機種販売入力!$B$4:$B$503,$B39))</f>
        <v/>
      </c>
      <c r="F39" s="29">
        <f>IF($B39="","",N($D39)*E39)</f>
        <v/>
      </c>
    </row>
    <row r="40">
      <c r="A40" s="42" t="inlineStr">
        <is>
          <t>Android</t>
        </is>
      </c>
      <c r="B40" s="41" t="inlineStr">
        <is>
          <t>Samsung Galaxy S26+(512GB)</t>
        </is>
      </c>
      <c r="C40" s="42" t="inlineStr">
        <is>
          <t>H</t>
        </is>
      </c>
      <c r="D40" s="42" t="n">
        <v>4</v>
      </c>
      <c r="E40" s="29">
        <f>IF($B40="","",SUMIFS(機種販売入力!$G$4:$G$503,機種販売入力!$B$4:$B$503,$B40))</f>
        <v/>
      </c>
      <c r="F40" s="29">
        <f>IF($B40="","",N($D40)*E40)</f>
        <v/>
      </c>
    </row>
    <row r="41">
      <c r="A41" s="42" t="inlineStr">
        <is>
          <t>Android</t>
        </is>
      </c>
      <c r="B41" s="41" t="inlineStr">
        <is>
          <t>Samsung Galaxy S26 Ultra(256GB)</t>
        </is>
      </c>
      <c r="C41" s="42" t="inlineStr">
        <is>
          <t>H</t>
        </is>
      </c>
      <c r="D41" s="42" t="n">
        <v>4</v>
      </c>
      <c r="E41" s="29">
        <f>IF($B41="","",SUMIFS(機種販売入力!$G$4:$G$503,機種販売入力!$B$4:$B$503,$B41))</f>
        <v/>
      </c>
      <c r="F41" s="29">
        <f>IF($B41="","",N($D41)*E41)</f>
        <v/>
      </c>
    </row>
    <row r="42">
      <c r="A42" s="42" t="inlineStr">
        <is>
          <t>Android</t>
        </is>
      </c>
      <c r="B42" s="41" t="inlineStr">
        <is>
          <t>Samsung Galaxy S26 Ultra(512GB)</t>
        </is>
      </c>
      <c r="C42" s="42" t="inlineStr">
        <is>
          <t>H</t>
        </is>
      </c>
      <c r="D42" s="42" t="n">
        <v>4</v>
      </c>
      <c r="E42" s="29">
        <f>IF($B42="","",SUMIFS(機種販売入力!$G$4:$G$503,機種販売入力!$B$4:$B$503,$B42))</f>
        <v/>
      </c>
      <c r="F42" s="29">
        <f>IF($B42="","",N($D42)*E42)</f>
        <v/>
      </c>
    </row>
    <row r="43">
      <c r="A43" s="42" t="inlineStr">
        <is>
          <t>Android</t>
        </is>
      </c>
      <c r="B43" s="41" t="inlineStr">
        <is>
          <t>Galaxy Z Fold7</t>
        </is>
      </c>
      <c r="C43" s="42" t="inlineStr">
        <is>
          <t>H</t>
        </is>
      </c>
      <c r="D43" s="42" t="n">
        <v>4</v>
      </c>
      <c r="E43" s="29">
        <f>IF($B43="","",SUMIFS(機種販売入力!$G$4:$G$503,機種販売入力!$B$4:$B$503,$B43))</f>
        <v/>
      </c>
      <c r="F43" s="29">
        <f>IF($B43="","",N($D43)*E43)</f>
        <v/>
      </c>
    </row>
    <row r="44">
      <c r="A44" s="42" t="inlineStr">
        <is>
          <t>Android</t>
        </is>
      </c>
      <c r="B44" s="41" t="inlineStr">
        <is>
          <t>Galaxy Z Flip7</t>
        </is>
      </c>
      <c r="C44" s="42" t="inlineStr">
        <is>
          <t>H</t>
        </is>
      </c>
      <c r="D44" s="42" t="n">
        <v>4</v>
      </c>
      <c r="E44" s="29">
        <f>IF($B44="","",SUMIFS(機種販売入力!$G$4:$G$503,機種販売入力!$B$4:$B$503,$B44))</f>
        <v/>
      </c>
      <c r="F44" s="29">
        <f>IF($B44="","",N($D44)*E44)</f>
        <v/>
      </c>
    </row>
    <row r="45">
      <c r="A45" s="42" t="inlineStr">
        <is>
          <t>Android</t>
        </is>
      </c>
      <c r="B45" s="41" t="inlineStr">
        <is>
          <t>シンプルスマホ7</t>
        </is>
      </c>
      <c r="C45" s="42" t="inlineStr">
        <is>
          <t>L</t>
        </is>
      </c>
      <c r="D45" s="42" t="n"/>
      <c r="E45" s="29">
        <f>IF($B45="","",SUMIFS(機種販売入力!$G$4:$G$503,機種販売入力!$B$4:$B$503,$B45))</f>
        <v/>
      </c>
      <c r="F45" s="29">
        <f>IF($B45="","",N($D45)*E45)</f>
        <v/>
      </c>
    </row>
    <row r="46">
      <c r="A46" s="42" t="inlineStr">
        <is>
          <t>ケータイ</t>
        </is>
      </c>
      <c r="B46" s="41" t="inlineStr">
        <is>
          <t>かんたん携帯 11</t>
        </is>
      </c>
      <c r="C46" s="42" t="inlineStr">
        <is>
          <t>L</t>
        </is>
      </c>
      <c r="D46" s="42" t="n"/>
      <c r="E46" s="29">
        <f>IF($B46="","",SUMIFS(機種販売入力!$G$4:$G$503,機種販売入力!$B$4:$B$503,$B46))</f>
        <v/>
      </c>
      <c r="F46" s="29">
        <f>IF($B46="","",N($D46)*E46)</f>
        <v/>
      </c>
    </row>
    <row r="47">
      <c r="A47" s="42" t="inlineStr">
        <is>
          <t>iPad</t>
        </is>
      </c>
      <c r="B47" s="41" t="inlineStr">
        <is>
          <t>iPad(A16) Wi-Fi+Cellular(128GB)</t>
        </is>
      </c>
      <c r="C47" s="42" t="inlineStr">
        <is>
          <t>M</t>
        </is>
      </c>
      <c r="D47" s="42" t="n">
        <v>2</v>
      </c>
      <c r="E47" s="29">
        <f>IF($B47="","",SUMIFS(機種販売入力!$G$4:$G$503,機種販売入力!$B$4:$B$503,$B47))</f>
        <v/>
      </c>
      <c r="F47" s="29">
        <f>IF($B47="","",N($D47)*E47)</f>
        <v/>
      </c>
    </row>
    <row r="48">
      <c r="A48" s="42" t="inlineStr">
        <is>
          <t>iPad</t>
        </is>
      </c>
      <c r="B48" s="41" t="inlineStr">
        <is>
          <t>iPad(A16) Wi-Fi+Cellular(256GB)</t>
        </is>
      </c>
      <c r="C48" s="42" t="inlineStr">
        <is>
          <t>M</t>
        </is>
      </c>
      <c r="D48" s="42" t="n">
        <v>2</v>
      </c>
      <c r="E48" s="29">
        <f>IF($B48="","",SUMIFS(機種販売入力!$G$4:$G$503,機種販売入力!$B$4:$B$503,$B48))</f>
        <v/>
      </c>
      <c r="F48" s="29">
        <f>IF($B48="","",N($D48)*E48)</f>
        <v/>
      </c>
    </row>
    <row r="49">
      <c r="A49" s="42" t="inlineStr">
        <is>
          <t>iPad</t>
        </is>
      </c>
      <c r="B49" s="41" t="inlineStr">
        <is>
          <t>iPad(A16) Wi-Fi+Cellular(512GB)</t>
        </is>
      </c>
      <c r="C49" s="42" t="inlineStr">
        <is>
          <t>M</t>
        </is>
      </c>
      <c r="D49" s="42" t="n">
        <v>2</v>
      </c>
      <c r="E49" s="29">
        <f>IF($B49="","",SUMIFS(機種販売入力!$G$4:$G$503,機種販売入力!$B$4:$B$503,$B49))</f>
        <v/>
      </c>
      <c r="F49" s="29">
        <f>IF($B49="","",N($D49)*E49)</f>
        <v/>
      </c>
    </row>
    <row r="50">
      <c r="A50" s="42" t="inlineStr">
        <is>
          <t>Android Tab</t>
        </is>
      </c>
      <c r="B50" s="41" t="inlineStr">
        <is>
          <t>Lenovo TAB8</t>
        </is>
      </c>
      <c r="C50" s="42" t="inlineStr">
        <is>
          <t>L</t>
        </is>
      </c>
      <c r="D50" s="42" t="n">
        <v>2</v>
      </c>
      <c r="E50" s="29">
        <f>IF($B50="","",SUMIFS(機種販売入力!$G$4:$G$503,機種販売入力!$B$4:$B$503,$B50))</f>
        <v/>
      </c>
      <c r="F50" s="29">
        <f>IF($B50="","",N($D50)*E50)</f>
        <v/>
      </c>
    </row>
    <row r="51">
      <c r="A51" s="42" t="n"/>
      <c r="B51" s="41" t="n"/>
      <c r="C51" s="42" t="n"/>
      <c r="D51" s="42" t="n"/>
      <c r="E51" s="29">
        <f>IF($B51="","",SUMIFS(機種販売入力!$G$4:$G$503,機種販売入力!$B$4:$B$503,$B51))</f>
        <v/>
      </c>
      <c r="F51" s="29">
        <f>IF($B51="","",N($D51)*E51)</f>
        <v/>
      </c>
    </row>
    <row r="52">
      <c r="A52" s="42" t="n"/>
      <c r="B52" s="41" t="n"/>
      <c r="C52" s="42" t="n"/>
      <c r="D52" s="42" t="n"/>
      <c r="E52" s="29">
        <f>IF($B52="","",SUMIFS(機種販売入力!$G$4:$G$503,機種販売入力!$B$4:$B$503,$B52))</f>
        <v/>
      </c>
      <c r="F52" s="29">
        <f>IF($B52="","",N($D52)*E52)</f>
        <v/>
      </c>
    </row>
    <row r="53">
      <c r="A53" s="42" t="n"/>
      <c r="B53" s="41" t="n"/>
      <c r="C53" s="42" t="n"/>
      <c r="D53" s="42" t="n"/>
      <c r="E53" s="29">
        <f>IF($B53="","",SUMIFS(機種販売入力!$G$4:$G$503,機種販売入力!$B$4:$B$503,$B53))</f>
        <v/>
      </c>
      <c r="F53" s="29">
        <f>IF($B53="","",N($D53)*E53)</f>
        <v/>
      </c>
    </row>
    <row r="54">
      <c r="A54" s="42" t="n"/>
      <c r="B54" s="41" t="n"/>
      <c r="C54" s="42" t="n"/>
      <c r="D54" s="42" t="n"/>
      <c r="E54" s="29">
        <f>IF($B54="","",SUMIFS(機種販売入力!$G$4:$G$503,機種販売入力!$B$4:$B$503,$B54))</f>
        <v/>
      </c>
      <c r="F54" s="29">
        <f>IF($B54="","",N($D54)*E54)</f>
        <v/>
      </c>
    </row>
    <row r="55">
      <c r="A55" s="42" t="n"/>
      <c r="B55" s="41" t="n"/>
      <c r="C55" s="42" t="n"/>
      <c r="D55" s="42" t="n"/>
      <c r="E55" s="29">
        <f>IF($B55="","",SUMIFS(機種販売入力!$G$4:$G$503,機種販売入力!$B$4:$B$503,$B55))</f>
        <v/>
      </c>
      <c r="F55" s="29">
        <f>IF($B55="","",N($D55)*E55)</f>
        <v/>
      </c>
    </row>
    <row r="56">
      <c r="A56" s="42" t="n"/>
      <c r="B56" s="41" t="n"/>
      <c r="C56" s="42" t="n"/>
      <c r="D56" s="42" t="n"/>
      <c r="E56" s="29">
        <f>IF($B56="","",SUMIFS(機種販売入力!$G$4:$G$503,機種販売入力!$B$4:$B$503,$B56))</f>
        <v/>
      </c>
      <c r="F56" s="29">
        <f>IF($B56="","",N($D56)*E56)</f>
        <v/>
      </c>
    </row>
    <row r="57">
      <c r="A57" s="42" t="n"/>
      <c r="B57" s="41" t="n"/>
      <c r="C57" s="42" t="n"/>
      <c r="D57" s="42" t="n"/>
      <c r="E57" s="29">
        <f>IF($B57="","",SUMIFS(機種販売入力!$G$4:$G$503,機種販売入力!$B$4:$B$503,$B57))</f>
        <v/>
      </c>
      <c r="F57" s="29">
        <f>IF($B57="","",N($D57)*E57)</f>
        <v/>
      </c>
    </row>
    <row r="58">
      <c r="A58" s="42" t="n"/>
      <c r="B58" s="41" t="n"/>
      <c r="C58" s="42" t="n"/>
      <c r="D58" s="42" t="n"/>
      <c r="E58" s="29">
        <f>IF($B58="","",SUMIFS(機種販売入力!$G$4:$G$503,機種販売入力!$B$4:$B$503,$B58))</f>
        <v/>
      </c>
      <c r="F58" s="29">
        <f>IF($B58="","",N($D58)*E58)</f>
        <v/>
      </c>
    </row>
    <row r="59">
      <c r="A59" s="42" t="n"/>
      <c r="B59" s="41" t="n"/>
      <c r="C59" s="42" t="n"/>
      <c r="D59" s="42" t="n"/>
      <c r="E59" s="29">
        <f>IF($B59="","",SUMIFS(機種販売入力!$G$4:$G$503,機種販売入力!$B$4:$B$503,$B59))</f>
        <v/>
      </c>
      <c r="F59" s="29">
        <f>IF($B59="","",N($D59)*E59)</f>
        <v/>
      </c>
    </row>
    <row r="60">
      <c r="A60" s="42" t="n"/>
      <c r="B60" s="41" t="n"/>
      <c r="C60" s="42" t="n"/>
      <c r="D60" s="42" t="n"/>
      <c r="E60" s="29">
        <f>IF($B60="","",SUMIFS(機種販売入力!$G$4:$G$503,機種販売入力!$B$4:$B$503,$B60))</f>
        <v/>
      </c>
      <c r="F60" s="29">
        <f>IF($B60="","",N($D60)*E60)</f>
        <v/>
      </c>
    </row>
    <row r="61">
      <c r="A61" s="42" t="n"/>
      <c r="B61" s="41" t="n"/>
      <c r="C61" s="42" t="n"/>
      <c r="D61" s="42" t="n"/>
      <c r="E61" s="29">
        <f>IF($B61="","",SUMIFS(機種販売入力!$G$4:$G$503,機種販売入力!$B$4:$B$503,$B61))</f>
        <v/>
      </c>
      <c r="F61" s="29">
        <f>IF($B61="","",N($D61)*E61)</f>
        <v/>
      </c>
    </row>
    <row r="62">
      <c r="A62" s="42" t="n"/>
      <c r="B62" s="41" t="n"/>
      <c r="C62" s="42" t="n"/>
      <c r="D62" s="42" t="n"/>
      <c r="E62" s="29">
        <f>IF($B62="","",SUMIFS(機種販売入力!$G$4:$G$503,機種販売入力!$B$4:$B$503,$B62))</f>
        <v/>
      </c>
      <c r="F62" s="29">
        <f>IF($B62="","",N($D62)*E62)</f>
        <v/>
      </c>
    </row>
    <row r="63">
      <c r="A63" s="42" t="n"/>
      <c r="B63" s="41" t="n"/>
      <c r="C63" s="42" t="n"/>
      <c r="D63" s="42" t="n"/>
      <c r="E63" s="29">
        <f>IF($B63="","",SUMIFS(機種販売入力!$G$4:$G$503,機種販売入力!$B$4:$B$503,$B63))</f>
        <v/>
      </c>
      <c r="F63" s="29">
        <f>IF($B63="","",N($D63)*E63)</f>
        <v/>
      </c>
    </row>
    <row r="64">
      <c r="A64" s="42" t="n"/>
      <c r="B64" s="41" t="n"/>
      <c r="C64" s="42" t="n"/>
      <c r="D64" s="42" t="n"/>
      <c r="E64" s="29">
        <f>IF($B64="","",SUMIFS(機種販売入力!$G$4:$G$503,機種販売入力!$B$4:$B$503,$B64))</f>
        <v/>
      </c>
      <c r="F64" s="29">
        <f>IF($B64="","",N($D64)*E64)</f>
        <v/>
      </c>
    </row>
    <row r="65">
      <c r="A65" s="42" t="n"/>
      <c r="B65" s="41" t="n"/>
      <c r="C65" s="42" t="n"/>
      <c r="D65" s="42" t="n"/>
      <c r="E65" s="29">
        <f>IF($B65="","",SUMIFS(機種販売入力!$G$4:$G$503,機種販売入力!$B$4:$B$503,$B65))</f>
        <v/>
      </c>
      <c r="F65" s="29">
        <f>IF($B65="","",N($D65)*E65)</f>
        <v/>
      </c>
    </row>
    <row r="66">
      <c r="A66" s="42" t="n"/>
      <c r="B66" s="41" t="n"/>
      <c r="C66" s="42" t="n"/>
      <c r="D66" s="42" t="n"/>
      <c r="E66" s="29">
        <f>IF($B66="","",SUMIFS(機種販売入力!$G$4:$G$503,機種販売入力!$B$4:$B$503,$B66))</f>
        <v/>
      </c>
      <c r="F66" s="29">
        <f>IF($B66="","",N($D66)*E66)</f>
        <v/>
      </c>
    </row>
    <row r="67">
      <c r="A67" s="42" t="n"/>
      <c r="B67" s="41" t="n"/>
      <c r="C67" s="42" t="n"/>
      <c r="D67" s="42" t="n"/>
      <c r="E67" s="29">
        <f>IF($B67="","",SUMIFS(機種販売入力!$G$4:$G$503,機種販売入力!$B$4:$B$503,$B67))</f>
        <v/>
      </c>
      <c r="F67" s="29">
        <f>IF($B67="","",N($D67)*E67)</f>
        <v/>
      </c>
    </row>
    <row r="68">
      <c r="A68" s="42" t="n"/>
      <c r="B68" s="41" t="n"/>
      <c r="C68" s="42" t="n"/>
      <c r="D68" s="42" t="n"/>
      <c r="E68" s="29">
        <f>IF($B68="","",SUMIFS(機種販売入力!$G$4:$G$503,機種販売入力!$B$4:$B$503,$B68))</f>
        <v/>
      </c>
      <c r="F68" s="29">
        <f>IF($B68="","",N($D68)*E68)</f>
        <v/>
      </c>
    </row>
    <row r="69">
      <c r="A69" s="42" t="n"/>
      <c r="B69" s="41" t="n"/>
      <c r="C69" s="42" t="n"/>
      <c r="D69" s="42" t="n"/>
      <c r="E69" s="29">
        <f>IF($B69="","",SUMIFS(機種販売入力!$G$4:$G$503,機種販売入力!$B$4:$B$503,$B69))</f>
        <v/>
      </c>
      <c r="F69" s="29">
        <f>IF($B69="","",N($D69)*E69)</f>
        <v/>
      </c>
    </row>
    <row r="70">
      <c r="A70" s="42" t="n"/>
      <c r="B70" s="41" t="n"/>
      <c r="C70" s="42" t="n"/>
      <c r="D70" s="42" t="n"/>
      <c r="E70" s="29">
        <f>IF($B70="","",SUMIFS(機種販売入力!$G$4:$G$503,機種販売入力!$B$4:$B$503,$B70))</f>
        <v/>
      </c>
      <c r="F70" s="29">
        <f>IF($B70="","",N($D70)*E70)</f>
        <v/>
      </c>
    </row>
    <row r="71">
      <c r="A71" s="42" t="n"/>
      <c r="B71" s="41" t="n"/>
      <c r="C71" s="42" t="n"/>
      <c r="D71" s="42" t="n"/>
      <c r="E71" s="29">
        <f>IF($B71="","",SUMIFS(機種販売入力!$G$4:$G$503,機種販売入力!$B$4:$B$503,$B71))</f>
        <v/>
      </c>
      <c r="F71" s="29">
        <f>IF($B71="","",N($D71)*E71)</f>
        <v/>
      </c>
    </row>
    <row r="72">
      <c r="A72" s="42" t="n"/>
      <c r="B72" s="41" t="n"/>
      <c r="C72" s="42" t="n"/>
      <c r="D72" s="42" t="n"/>
      <c r="E72" s="29">
        <f>IF($B72="","",SUMIFS(機種販売入力!$G$4:$G$503,機種販売入力!$B$4:$B$503,$B72))</f>
        <v/>
      </c>
      <c r="F72" s="29">
        <f>IF($B72="","",N($D72)*E72)</f>
        <v/>
      </c>
    </row>
    <row r="73">
      <c r="A73" s="42" t="n"/>
      <c r="B73" s="41" t="n"/>
      <c r="C73" s="42" t="n"/>
      <c r="D73" s="42" t="n"/>
      <c r="E73" s="29">
        <f>IF($B73="","",SUMIFS(機種販売入力!$G$4:$G$503,機種販売入力!$B$4:$B$503,$B73))</f>
        <v/>
      </c>
      <c r="F73" s="29">
        <f>IF($B73="","",N($D73)*E73)</f>
        <v/>
      </c>
    </row>
    <row r="74">
      <c r="A74" s="42" t="n"/>
      <c r="B74" s="41" t="n"/>
      <c r="C74" s="42" t="n"/>
      <c r="D74" s="42" t="n"/>
      <c r="E74" s="29">
        <f>IF($B74="","",SUMIFS(機種販売入力!$G$4:$G$503,機種販売入力!$B$4:$B$503,$B74))</f>
        <v/>
      </c>
      <c r="F74" s="29">
        <f>IF($B74="","",N($D74)*E74)</f>
        <v/>
      </c>
    </row>
    <row r="75">
      <c r="A75" s="42" t="n"/>
      <c r="B75" s="41" t="n"/>
      <c r="C75" s="42" t="n"/>
      <c r="D75" s="42" t="n"/>
      <c r="E75" s="29">
        <f>IF($B75="","",SUMIFS(機種販売入力!$G$4:$G$503,機種販売入力!$B$4:$B$503,$B75))</f>
        <v/>
      </c>
      <c r="F75" s="29">
        <f>IF($B75="","",N($D75)*E75)</f>
        <v/>
      </c>
    </row>
    <row r="76">
      <c r="A76" s="42" t="n"/>
      <c r="B76" s="41" t="n"/>
      <c r="C76" s="42" t="n"/>
      <c r="D76" s="42" t="n"/>
      <c r="E76" s="29">
        <f>IF($B76="","",SUMIFS(機種販売入力!$G$4:$G$503,機種販売入力!$B$4:$B$503,$B76))</f>
        <v/>
      </c>
      <c r="F76" s="29">
        <f>IF($B76="","",N($D76)*E76)</f>
        <v/>
      </c>
    </row>
    <row r="77">
      <c r="A77" s="42" t="n"/>
      <c r="B77" s="41" t="n"/>
      <c r="C77" s="42" t="n"/>
      <c r="D77" s="42" t="n"/>
      <c r="E77" s="29">
        <f>IF($B77="","",SUMIFS(機種販売入力!$G$4:$G$503,機種販売入力!$B$4:$B$503,$B77))</f>
        <v/>
      </c>
      <c r="F77" s="29">
        <f>IF($B77="","",N($D77)*E77)</f>
        <v/>
      </c>
    </row>
    <row r="78">
      <c r="A78" s="42" t="n"/>
      <c r="B78" s="41" t="n"/>
      <c r="C78" s="42" t="n"/>
      <c r="D78" s="42" t="n"/>
      <c r="E78" s="29">
        <f>IF($B78="","",SUMIFS(機種販売入力!$G$4:$G$503,機種販売入力!$B$4:$B$503,$B78))</f>
        <v/>
      </c>
      <c r="F78" s="29">
        <f>IF($B78="","",N($D78)*E78)</f>
        <v/>
      </c>
    </row>
    <row r="79">
      <c r="A79" s="42" t="n"/>
      <c r="B79" s="41" t="n"/>
      <c r="C79" s="42" t="n"/>
      <c r="D79" s="42" t="n"/>
      <c r="E79" s="29">
        <f>IF($B79="","",SUMIFS(機種販売入力!$G$4:$G$503,機種販売入力!$B$4:$B$503,$B79))</f>
        <v/>
      </c>
      <c r="F79" s="29">
        <f>IF($B79="","",N($D79)*E79)</f>
        <v/>
      </c>
    </row>
    <row r="80">
      <c r="A80" s="42" t="n"/>
      <c r="B80" s="41" t="n"/>
      <c r="C80" s="42" t="n"/>
      <c r="D80" s="42" t="n"/>
      <c r="E80" s="29">
        <f>IF($B80="","",SUMIFS(機種販売入力!$G$4:$G$503,機種販売入力!$B$4:$B$503,$B80))</f>
        <v/>
      </c>
      <c r="F80" s="29">
        <f>IF($B80="","",N($D80)*E80)</f>
        <v/>
      </c>
    </row>
    <row r="81">
      <c r="A81" s="42" t="n"/>
      <c r="B81" s="41" t="n"/>
      <c r="C81" s="42" t="n"/>
      <c r="D81" s="42" t="n"/>
      <c r="E81" s="29">
        <f>IF($B81="","",SUMIFS(機種販売入力!$G$4:$G$503,機種販売入力!$B$4:$B$503,$B81))</f>
        <v/>
      </c>
      <c r="F81" s="29">
        <f>IF($B81="","",N($D81)*E81)</f>
        <v/>
      </c>
    </row>
    <row r="82">
      <c r="A82" s="42" t="n"/>
      <c r="B82" s="41" t="n"/>
      <c r="C82" s="42" t="n"/>
      <c r="D82" s="42" t="n"/>
      <c r="E82" s="29">
        <f>IF($B82="","",SUMIFS(機種販売入力!$G$4:$G$503,機種販売入力!$B$4:$B$503,$B82))</f>
        <v/>
      </c>
      <c r="F82" s="29">
        <f>IF($B82="","",N($D82)*E82)</f>
        <v/>
      </c>
    </row>
    <row r="83">
      <c r="A83" s="42" t="n"/>
      <c r="B83" s="41" t="n"/>
      <c r="C83" s="42" t="n"/>
      <c r="D83" s="42" t="n"/>
      <c r="E83" s="29">
        <f>IF($B83="","",SUMIFS(機種販売入力!$G$4:$G$503,機種販売入力!$B$4:$B$503,$B83))</f>
        <v/>
      </c>
      <c r="F83" s="29">
        <f>IF($B83="","",N($D83)*E83)</f>
        <v/>
      </c>
    </row>
    <row r="84">
      <c r="A84" s="42" t="n"/>
      <c r="B84" s="41" t="n"/>
      <c r="C84" s="42" t="n"/>
      <c r="D84" s="42" t="n"/>
      <c r="E84" s="29">
        <f>IF($B84="","",SUMIFS(機種販売入力!$G$4:$G$503,機種販売入力!$B$4:$B$503,$B84))</f>
        <v/>
      </c>
      <c r="F84" s="29">
        <f>IF($B84="","",N($D84)*E84)</f>
        <v/>
      </c>
    </row>
    <row r="85">
      <c r="A85" s="42" t="n"/>
      <c r="B85" s="41" t="n"/>
      <c r="C85" s="42" t="n"/>
      <c r="D85" s="42" t="n"/>
      <c r="E85" s="29">
        <f>IF($B85="","",SUMIFS(機種販売入力!$G$4:$G$503,機種販売入力!$B$4:$B$503,$B85))</f>
        <v/>
      </c>
      <c r="F85" s="29">
        <f>IF($B85="","",N($D85)*E85)</f>
        <v/>
      </c>
    </row>
    <row r="86">
      <c r="A86" s="42" t="n"/>
      <c r="B86" s="41" t="n"/>
      <c r="C86" s="42" t="n"/>
      <c r="D86" s="42" t="n"/>
      <c r="E86" s="29">
        <f>IF($B86="","",SUMIFS(機種販売入力!$G$4:$G$503,機種販売入力!$B$4:$B$503,$B86))</f>
        <v/>
      </c>
      <c r="F86" s="29">
        <f>IF($B86="","",N($D86)*E86)</f>
        <v/>
      </c>
    </row>
    <row r="87">
      <c r="A87" s="42" t="n"/>
      <c r="B87" s="41" t="n"/>
      <c r="C87" s="42" t="n"/>
      <c r="D87" s="42" t="n"/>
      <c r="E87" s="29">
        <f>IF($B87="","",SUMIFS(機種販売入力!$G$4:$G$503,機種販売入力!$B$4:$B$503,$B87))</f>
        <v/>
      </c>
      <c r="F87" s="29">
        <f>IF($B87="","",N($D87)*E87)</f>
        <v/>
      </c>
    </row>
    <row r="88">
      <c r="A88" s="42" t="n"/>
      <c r="B88" s="41" t="n"/>
      <c r="C88" s="42" t="n"/>
      <c r="D88" s="42" t="n"/>
      <c r="E88" s="29">
        <f>IF($B88="","",SUMIFS(機種販売入力!$G$4:$G$503,機種販売入力!$B$4:$B$503,$B88))</f>
        <v/>
      </c>
      <c r="F88" s="29">
        <f>IF($B88="","",N($D88)*E88)</f>
        <v/>
      </c>
    </row>
    <row r="89">
      <c r="A89" s="42" t="n"/>
      <c r="B89" s="41" t="n"/>
      <c r="C89" s="42" t="n"/>
      <c r="D89" s="42" t="n"/>
      <c r="E89" s="29">
        <f>IF($B89="","",SUMIFS(機種販売入力!$G$4:$G$503,機種販売入力!$B$4:$B$503,$B89))</f>
        <v/>
      </c>
      <c r="F89" s="29">
        <f>IF($B89="","",N($D89)*E89)</f>
        <v/>
      </c>
    </row>
    <row r="90">
      <c r="A90" s="42" t="n"/>
      <c r="B90" s="41" t="n"/>
      <c r="C90" s="42" t="n"/>
      <c r="D90" s="42" t="n"/>
      <c r="E90" s="29">
        <f>IF($B90="","",SUMIFS(機種販売入力!$G$4:$G$503,機種販売入力!$B$4:$B$503,$B90))</f>
        <v/>
      </c>
      <c r="F90" s="29">
        <f>IF($B90="","",N($D90)*E90)</f>
        <v/>
      </c>
    </row>
    <row r="91">
      <c r="A91" s="42" t="n"/>
      <c r="B91" s="41" t="n"/>
      <c r="C91" s="42" t="n"/>
      <c r="D91" s="42" t="n"/>
      <c r="E91" s="29">
        <f>IF($B91="","",SUMIFS(機種販売入力!$G$4:$G$503,機種販売入力!$B$4:$B$503,$B91))</f>
        <v/>
      </c>
      <c r="F91" s="29">
        <f>IF($B91="","",N($D91)*E91)</f>
        <v/>
      </c>
    </row>
    <row r="92">
      <c r="A92" s="42" t="n"/>
      <c r="B92" s="41" t="n"/>
      <c r="C92" s="42" t="n"/>
      <c r="D92" s="42" t="n"/>
      <c r="E92" s="29">
        <f>IF($B92="","",SUMIFS(機種販売入力!$G$4:$G$503,機種販売入力!$B$4:$B$503,$B92))</f>
        <v/>
      </c>
      <c r="F92" s="29">
        <f>IF($B92="","",N($D92)*E92)</f>
        <v/>
      </c>
    </row>
    <row r="93">
      <c r="A93" s="42" t="n"/>
      <c r="B93" s="41" t="n"/>
      <c r="C93" s="42" t="n"/>
      <c r="D93" s="42" t="n"/>
      <c r="E93" s="29">
        <f>IF($B93="","",SUMIFS(機種販売入力!$G$4:$G$503,機種販売入力!$B$4:$B$503,$B93))</f>
        <v/>
      </c>
      <c r="F93" s="29">
        <f>IF($B93="","",N($D93)*E93)</f>
        <v/>
      </c>
    </row>
    <row r="94">
      <c r="A94" s="42" t="n"/>
      <c r="B94" s="41" t="n"/>
      <c r="C94" s="42" t="n"/>
      <c r="D94" s="42" t="n"/>
      <c r="E94" s="29">
        <f>IF($B94="","",SUMIFS(機種販売入力!$G$4:$G$503,機種販売入力!$B$4:$B$503,$B94))</f>
        <v/>
      </c>
      <c r="F94" s="29">
        <f>IF($B94="","",N($D94)*E94)</f>
        <v/>
      </c>
    </row>
    <row r="95">
      <c r="A95" s="42" t="n"/>
      <c r="B95" s="41" t="n"/>
      <c r="C95" s="42" t="n"/>
      <c r="D95" s="42" t="n"/>
      <c r="E95" s="29">
        <f>IF($B95="","",SUMIFS(機種販売入力!$G$4:$G$503,機種販売入力!$B$4:$B$503,$B95))</f>
        <v/>
      </c>
      <c r="F95" s="29">
        <f>IF($B95="","",N($D95)*E95)</f>
        <v/>
      </c>
    </row>
    <row r="96">
      <c r="A96" s="42" t="n"/>
      <c r="B96" s="41" t="n"/>
      <c r="C96" s="42" t="n"/>
      <c r="D96" s="42" t="n"/>
      <c r="E96" s="29">
        <f>IF($B96="","",SUMIFS(機種販売入力!$G$4:$G$503,機種販売入力!$B$4:$B$503,$B96))</f>
        <v/>
      </c>
      <c r="F96" s="29">
        <f>IF($B96="","",N($D96)*E96)</f>
        <v/>
      </c>
    </row>
    <row r="97">
      <c r="A97" s="42" t="n"/>
      <c r="B97" s="41" t="n"/>
      <c r="C97" s="42" t="n"/>
      <c r="D97" s="42" t="n"/>
      <c r="E97" s="29">
        <f>IF($B97="","",SUMIFS(機種販売入力!$G$4:$G$503,機種販売入力!$B$4:$B$503,$B97))</f>
        <v/>
      </c>
      <c r="F97" s="29">
        <f>IF($B97="","",N($D97)*E97)</f>
        <v/>
      </c>
    </row>
    <row r="98">
      <c r="A98" s="42" t="n"/>
      <c r="B98" s="41" t="n"/>
      <c r="C98" s="42" t="n"/>
      <c r="D98" s="42" t="n"/>
      <c r="E98" s="29">
        <f>IF($B98="","",SUMIFS(機種販売入力!$G$4:$G$503,機種販売入力!$B$4:$B$503,$B98))</f>
        <v/>
      </c>
      <c r="F98" s="29">
        <f>IF($B98="","",N($D98)*E98)</f>
        <v/>
      </c>
    </row>
    <row r="99">
      <c r="A99" s="42" t="n"/>
      <c r="B99" s="41" t="n"/>
      <c r="C99" s="42" t="n"/>
      <c r="D99" s="42" t="n"/>
      <c r="E99" s="29">
        <f>IF($B99="","",SUMIFS(機種販売入力!$G$4:$G$503,機種販売入力!$B$4:$B$503,$B99))</f>
        <v/>
      </c>
      <c r="F99" s="29">
        <f>IF($B99="","",N($D99)*E99)</f>
        <v/>
      </c>
    </row>
    <row r="100">
      <c r="A100" s="42" t="n"/>
      <c r="B100" s="41" t="n"/>
      <c r="C100" s="42" t="n"/>
      <c r="D100" s="42" t="n"/>
      <c r="E100" s="29">
        <f>IF($B100="","",SUMIFS(機種販売入力!$G$4:$G$503,機種販売入力!$B$4:$B$503,$B100))</f>
        <v/>
      </c>
      <c r="F100" s="29">
        <f>IF($B100="","",N($D100)*E100)</f>
        <v/>
      </c>
    </row>
    <row r="101">
      <c r="A101" s="42" t="n"/>
      <c r="B101" s="41" t="n"/>
      <c r="C101" s="42" t="n"/>
      <c r="D101" s="42" t="n"/>
      <c r="E101" s="29">
        <f>IF($B101="","",SUMIFS(機種販売入力!$G$4:$G$503,機種販売入力!$B$4:$B$503,$B101))</f>
        <v/>
      </c>
      <c r="F101" s="29">
        <f>IF($B101="","",N($D101)*E101)</f>
        <v/>
      </c>
    </row>
    <row r="102">
      <c r="A102" s="42" t="n"/>
      <c r="B102" s="41" t="n"/>
      <c r="C102" s="42" t="n"/>
      <c r="D102" s="42" t="n"/>
      <c r="E102" s="29">
        <f>IF($B102="","",SUMIFS(機種販売入力!$G$4:$G$503,機種販売入力!$B$4:$B$503,$B102))</f>
        <v/>
      </c>
      <c r="F102" s="29">
        <f>IF($B102="","",N($D102)*E102)</f>
        <v/>
      </c>
    </row>
    <row r="103">
      <c r="A103" s="42" t="n"/>
      <c r="B103" s="41" t="n"/>
      <c r="C103" s="42" t="n"/>
      <c r="D103" s="42" t="n"/>
      <c r="E103" s="29">
        <f>IF($B103="","",SUMIFS(機種販売入力!$G$4:$G$503,機種販売入力!$B$4:$B$503,$B103))</f>
        <v/>
      </c>
      <c r="F103" s="29">
        <f>IF($B103="","",N($D103)*E103)</f>
        <v/>
      </c>
    </row>
    <row r="104">
      <c r="A104" s="42" t="n"/>
      <c r="B104" s="41" t="n"/>
      <c r="C104" s="42" t="n"/>
      <c r="D104" s="42" t="n"/>
      <c r="E104" s="29">
        <f>IF($B104="","",SUMIFS(機種販売入力!$G$4:$G$503,機種販売入力!$B$4:$B$503,$B104))</f>
        <v/>
      </c>
      <c r="F104" s="29">
        <f>IF($B104="","",N($D104)*E104)</f>
        <v/>
      </c>
    </row>
    <row r="105">
      <c r="A105" s="42" t="n"/>
      <c r="B105" s="41" t="n"/>
      <c r="C105" s="42" t="n"/>
      <c r="D105" s="42" t="n"/>
      <c r="E105" s="29">
        <f>IF($B105="","",SUMIFS(機種販売入力!$G$4:$G$503,機種販売入力!$B$4:$B$503,$B105))</f>
        <v/>
      </c>
      <c r="F105" s="29">
        <f>IF($B105="","",N($D105)*E105)</f>
        <v/>
      </c>
    </row>
    <row r="106">
      <c r="A106" s="42" t="n"/>
      <c r="B106" s="41" t="n"/>
      <c r="C106" s="42" t="n"/>
      <c r="D106" s="42" t="n"/>
      <c r="E106" s="29">
        <f>IF($B106="","",SUMIFS(機種販売入力!$G$4:$G$503,機種販売入力!$B$4:$B$503,$B106))</f>
        <v/>
      </c>
      <c r="F106" s="29">
        <f>IF($B106="","",N($D106)*E106)</f>
        <v/>
      </c>
    </row>
    <row r="107">
      <c r="A107" s="42" t="n"/>
      <c r="B107" s="41" t="n"/>
      <c r="C107" s="42" t="n"/>
      <c r="D107" s="42" t="n"/>
      <c r="E107" s="29">
        <f>IF($B107="","",SUMIFS(機種販売入力!$G$4:$G$503,機種販売入力!$B$4:$B$503,$B107))</f>
        <v/>
      </c>
      <c r="F107" s="29">
        <f>IF($B107="","",N($D107)*E107)</f>
        <v/>
      </c>
    </row>
    <row r="108">
      <c r="A108" s="42" t="n"/>
      <c r="B108" s="41" t="n"/>
      <c r="C108" s="42" t="n"/>
      <c r="D108" s="42" t="n"/>
      <c r="E108" s="29">
        <f>IF($B108="","",SUMIFS(機種販売入力!$G$4:$G$503,機種販売入力!$B$4:$B$503,$B108))</f>
        <v/>
      </c>
      <c r="F108" s="29">
        <f>IF($B108="","",N($D108)*E108)</f>
        <v/>
      </c>
    </row>
    <row r="109">
      <c r="A109" s="42" t="n"/>
      <c r="B109" s="41" t="n"/>
      <c r="C109" s="42" t="n"/>
      <c r="D109" s="42" t="n"/>
      <c r="E109" s="29">
        <f>IF($B109="","",SUMIFS(機種販売入力!$G$4:$G$503,機種販売入力!$B$4:$B$503,$B109))</f>
        <v/>
      </c>
      <c r="F109" s="29">
        <f>IF($B109="","",N($D109)*E109)</f>
        <v/>
      </c>
    </row>
    <row r="110">
      <c r="A110" s="42" t="n"/>
      <c r="B110" s="41" t="n"/>
      <c r="C110" s="42" t="n"/>
      <c r="D110" s="42" t="n"/>
      <c r="E110" s="29">
        <f>IF($B110="","",SUMIFS(機種販売入力!$G$4:$G$503,機種販売入力!$B$4:$B$503,$B110))</f>
        <v/>
      </c>
      <c r="F110" s="29">
        <f>IF($B110="","",N($D110)*E110)</f>
        <v/>
      </c>
    </row>
    <row r="111">
      <c r="A111" s="42" t="n"/>
      <c r="B111" s="41" t="n"/>
      <c r="C111" s="42" t="n"/>
      <c r="D111" s="42" t="n"/>
      <c r="E111" s="29">
        <f>IF($B111="","",SUMIFS(機種販売入力!$G$4:$G$503,機種販売入力!$B$4:$B$503,$B111))</f>
        <v/>
      </c>
      <c r="F111" s="29">
        <f>IF($B111="","",N($D111)*E111)</f>
        <v/>
      </c>
    </row>
    <row r="112">
      <c r="A112" s="42" t="n"/>
      <c r="B112" s="41" t="n"/>
      <c r="C112" s="42" t="n"/>
      <c r="D112" s="42" t="n"/>
      <c r="E112" s="29">
        <f>IF($B112="","",SUMIFS(機種販売入力!$G$4:$G$503,機種販売入力!$B$4:$B$503,$B112))</f>
        <v/>
      </c>
      <c r="F112" s="29">
        <f>IF($B112="","",N($D112)*E112)</f>
        <v/>
      </c>
    </row>
    <row r="113">
      <c r="A113" s="42" t="n"/>
      <c r="B113" s="41" t="n"/>
      <c r="C113" s="42" t="n"/>
      <c r="D113" s="42" t="n"/>
      <c r="E113" s="29">
        <f>IF($B113="","",SUMIFS(機種販売入力!$G$4:$G$503,機種販売入力!$B$4:$B$503,$B113))</f>
        <v/>
      </c>
      <c r="F113" s="29">
        <f>IF($B113="","",N($D113)*E113)</f>
        <v/>
      </c>
    </row>
    <row r="114">
      <c r="A114" s="42" t="n"/>
      <c r="B114" s="41" t="n"/>
      <c r="C114" s="42" t="n"/>
      <c r="D114" s="42" t="n"/>
      <c r="E114" s="29">
        <f>IF($B114="","",SUMIFS(機種販売入力!$G$4:$G$503,機種販売入力!$B$4:$B$503,$B114))</f>
        <v/>
      </c>
      <c r="F114" s="29">
        <f>IF($B114="","",N($D114)*E114)</f>
        <v/>
      </c>
    </row>
    <row r="115">
      <c r="A115" s="42" t="n"/>
      <c r="B115" s="41" t="n"/>
      <c r="C115" s="42" t="n"/>
      <c r="D115" s="42" t="n"/>
      <c r="E115" s="29">
        <f>IF($B115="","",SUMIFS(機種販売入力!$G$4:$G$503,機種販売入力!$B$4:$B$503,$B115))</f>
        <v/>
      </c>
      <c r="F115" s="29">
        <f>IF($B115="","",N($D115)*E115)</f>
        <v/>
      </c>
    </row>
    <row r="116">
      <c r="A116" s="42" t="n"/>
      <c r="B116" s="41" t="n"/>
      <c r="C116" s="42" t="n"/>
      <c r="D116" s="42" t="n"/>
      <c r="E116" s="29">
        <f>IF($B116="","",SUMIFS(機種販売入力!$G$4:$G$503,機種販売入力!$B$4:$B$503,$B116))</f>
        <v/>
      </c>
      <c r="F116" s="29">
        <f>IF($B116="","",N($D116)*E116)</f>
        <v/>
      </c>
    </row>
    <row r="117">
      <c r="A117" s="42" t="n"/>
      <c r="B117" s="41" t="n"/>
      <c r="C117" s="42" t="n"/>
      <c r="D117" s="42" t="n"/>
      <c r="E117" s="29">
        <f>IF($B117="","",SUMIFS(機種販売入力!$G$4:$G$503,機種販売入力!$B$4:$B$503,$B117))</f>
        <v/>
      </c>
      <c r="F117" s="29">
        <f>IF($B117="","",N($D117)*E117)</f>
        <v/>
      </c>
    </row>
    <row r="118">
      <c r="A118" s="42" t="n"/>
      <c r="B118" s="41" t="n"/>
      <c r="C118" s="42" t="n"/>
      <c r="D118" s="42" t="n"/>
      <c r="E118" s="29">
        <f>IF($B118="","",SUMIFS(機種販売入力!$G$4:$G$503,機種販売入力!$B$4:$B$503,$B118))</f>
        <v/>
      </c>
      <c r="F118" s="29">
        <f>IF($B118="","",N($D118)*E118)</f>
        <v/>
      </c>
    </row>
    <row r="119">
      <c r="A119" s="42" t="n"/>
      <c r="B119" s="41" t="n"/>
      <c r="C119" s="42" t="n"/>
      <c r="D119" s="42" t="n"/>
      <c r="E119" s="29">
        <f>IF($B119="","",SUMIFS(機種販売入力!$G$4:$G$503,機種販売入力!$B$4:$B$503,$B119))</f>
        <v/>
      </c>
      <c r="F119" s="29">
        <f>IF($B119="","",N($D119)*E119)</f>
        <v/>
      </c>
    </row>
    <row r="120">
      <c r="A120" s="42" t="n"/>
      <c r="B120" s="41" t="n"/>
      <c r="C120" s="42" t="n"/>
      <c r="D120" s="42" t="n"/>
      <c r="E120" s="29">
        <f>IF($B120="","",SUMIFS(機種販売入力!$G$4:$G$503,機種販売入力!$B$4:$B$503,$B120))</f>
        <v/>
      </c>
      <c r="F120" s="29">
        <f>IF($B120="","",N($D120)*E120)</f>
        <v/>
      </c>
    </row>
    <row r="121">
      <c r="A121" s="42" t="n"/>
      <c r="B121" s="41" t="n"/>
      <c r="C121" s="42" t="n"/>
      <c r="D121" s="42" t="n"/>
      <c r="E121" s="29">
        <f>IF($B121="","",SUMIFS(機種販売入力!$G$4:$G$503,機種販売入力!$B$4:$B$503,$B121))</f>
        <v/>
      </c>
      <c r="F121" s="29">
        <f>IF($B121="","",N($D121)*E121)</f>
        <v/>
      </c>
    </row>
    <row r="122">
      <c r="A122" s="42" t="n"/>
      <c r="B122" s="41" t="n"/>
      <c r="C122" s="42" t="n"/>
      <c r="D122" s="42" t="n"/>
      <c r="E122" s="29">
        <f>IF($B122="","",SUMIFS(機種販売入力!$G$4:$G$503,機種販売入力!$B$4:$B$503,$B122))</f>
        <v/>
      </c>
      <c r="F122" s="29">
        <f>IF($B122="","",N($D122)*E122)</f>
        <v/>
      </c>
    </row>
    <row r="123">
      <c r="A123" s="42" t="n"/>
      <c r="B123" s="41" t="n"/>
      <c r="C123" s="42" t="n"/>
      <c r="D123" s="42" t="n"/>
      <c r="E123" s="29">
        <f>IF($B123="","",SUMIFS(機種販売入力!$G$4:$G$503,機種販売入力!$B$4:$B$503,$B123))</f>
        <v/>
      </c>
      <c r="F123" s="29">
        <f>IF($B123="","",N($D123)*E123)</f>
        <v/>
      </c>
    </row>
    <row r="124">
      <c r="A124" s="42" t="n"/>
      <c r="B124" s="41" t="n"/>
      <c r="C124" s="42" t="n"/>
      <c r="D124" s="42" t="n"/>
      <c r="E124" s="29">
        <f>IF($B124="","",SUMIFS(機種販売入力!$G$4:$G$503,機種販売入力!$B$4:$B$503,$B124))</f>
        <v/>
      </c>
      <c r="F124" s="29">
        <f>IF($B124="","",N($D124)*E124)</f>
        <v/>
      </c>
    </row>
    <row r="125">
      <c r="A125" s="42" t="n"/>
      <c r="B125" s="41" t="n"/>
      <c r="C125" s="42" t="n"/>
      <c r="D125" s="42" t="n"/>
      <c r="E125" s="29">
        <f>IF($B125="","",SUMIFS(機種販売入力!$G$4:$G$503,機種販売入力!$B$4:$B$503,$B125))</f>
        <v/>
      </c>
      <c r="F125" s="29">
        <f>IF($B125="","",N($D125)*E125)</f>
        <v/>
      </c>
    </row>
    <row r="126">
      <c r="A126" s="42" t="n"/>
      <c r="B126" s="41" t="n"/>
      <c r="C126" s="42" t="n"/>
      <c r="D126" s="42" t="n"/>
      <c r="E126" s="29">
        <f>IF($B126="","",SUMIFS(機種販売入力!$G$4:$G$503,機種販売入力!$B$4:$B$503,$B126))</f>
        <v/>
      </c>
      <c r="F126" s="29">
        <f>IF($B126="","",N($D126)*E126)</f>
        <v/>
      </c>
    </row>
    <row r="127">
      <c r="A127" s="42" t="n"/>
      <c r="B127" s="41" t="n"/>
      <c r="C127" s="42" t="n"/>
      <c r="D127" s="42" t="n"/>
      <c r="E127" s="29">
        <f>IF($B127="","",SUMIFS(機種販売入力!$G$4:$G$503,機種販売入力!$B$4:$B$503,$B127))</f>
        <v/>
      </c>
      <c r="F127" s="29">
        <f>IF($B127="","",N($D127)*E127)</f>
        <v/>
      </c>
    </row>
    <row r="128">
      <c r="A128" s="42" t="n"/>
      <c r="B128" s="41" t="n"/>
      <c r="C128" s="42" t="n"/>
      <c r="D128" s="42" t="n"/>
      <c r="E128" s="29">
        <f>IF($B128="","",SUMIFS(機種販売入力!$G$4:$G$503,機種販売入力!$B$4:$B$503,$B128))</f>
        <v/>
      </c>
      <c r="F128" s="29">
        <f>IF($B128="","",N($D128)*E128)</f>
        <v/>
      </c>
    </row>
    <row r="129">
      <c r="A129" s="42" t="n"/>
      <c r="B129" s="41" t="n"/>
      <c r="C129" s="42" t="n"/>
      <c r="D129" s="42" t="n"/>
      <c r="E129" s="29">
        <f>IF($B129="","",SUMIFS(機種販売入力!$G$4:$G$503,機種販売入力!$B$4:$B$503,$B129))</f>
        <v/>
      </c>
      <c r="F129" s="29">
        <f>IF($B129="","",N($D129)*E129)</f>
        <v/>
      </c>
    </row>
    <row r="130">
      <c r="A130" s="42" t="n"/>
      <c r="B130" s="41" t="n"/>
      <c r="C130" s="42" t="n"/>
      <c r="D130" s="42" t="n"/>
      <c r="E130" s="29">
        <f>IF($B130="","",SUMIFS(機種販売入力!$G$4:$G$503,機種販売入力!$B$4:$B$503,$B130))</f>
        <v/>
      </c>
      <c r="F130" s="29">
        <f>IF($B130="","",N($D130)*E130)</f>
        <v/>
      </c>
    </row>
    <row r="131">
      <c r="A131" s="42" t="n"/>
      <c r="B131" s="41" t="n"/>
      <c r="C131" s="42" t="n"/>
      <c r="D131" s="42" t="n"/>
      <c r="E131" s="29">
        <f>IF($B131="","",SUMIFS(機種販売入力!$G$4:$G$503,機種販売入力!$B$4:$B$503,$B131))</f>
        <v/>
      </c>
      <c r="F131" s="29">
        <f>IF($B131="","",N($D131)*E131)</f>
        <v/>
      </c>
    </row>
    <row r="132">
      <c r="A132" s="42" t="n"/>
      <c r="B132" s="41" t="n"/>
      <c r="C132" s="42" t="n"/>
      <c r="D132" s="42" t="n"/>
      <c r="E132" s="29">
        <f>IF($B132="","",SUMIFS(機種販売入力!$G$4:$G$503,機種販売入力!$B$4:$B$503,$B132))</f>
        <v/>
      </c>
      <c r="F132" s="29">
        <f>IF($B132="","",N($D132)*E132)</f>
        <v/>
      </c>
    </row>
    <row r="133">
      <c r="A133" s="42" t="n"/>
      <c r="B133" s="41" t="n"/>
      <c r="C133" s="42" t="n"/>
      <c r="D133" s="42" t="n"/>
      <c r="E133" s="29">
        <f>IF($B133="","",SUMIFS(機種販売入力!$G$4:$G$503,機種販売入力!$B$4:$B$503,$B133))</f>
        <v/>
      </c>
      <c r="F133" s="29">
        <f>IF($B133="","",N($D133)*E133)</f>
        <v/>
      </c>
    </row>
    <row r="134">
      <c r="A134" s="42" t="n"/>
      <c r="B134" s="41" t="n"/>
      <c r="C134" s="42" t="n"/>
      <c r="D134" s="42" t="n"/>
      <c r="E134" s="29">
        <f>IF($B134="","",SUMIFS(機種販売入力!$G$4:$G$503,機種販売入力!$B$4:$B$503,$B134))</f>
        <v/>
      </c>
      <c r="F134" s="29">
        <f>IF($B134="","",N($D134)*E134)</f>
        <v/>
      </c>
    </row>
    <row r="135">
      <c r="A135" s="42" t="n"/>
      <c r="B135" s="41" t="n"/>
      <c r="C135" s="42" t="n"/>
      <c r="D135" s="42" t="n"/>
      <c r="E135" s="29">
        <f>IF($B135="","",SUMIFS(機種販売入力!$G$4:$G$503,機種販売入力!$B$4:$B$503,$B135))</f>
        <v/>
      </c>
      <c r="F135" s="29">
        <f>IF($B135="","",N($D135)*E135)</f>
        <v/>
      </c>
    </row>
    <row r="136">
      <c r="A136" s="42" t="n"/>
      <c r="B136" s="41" t="n"/>
      <c r="C136" s="42" t="n"/>
      <c r="D136" s="42" t="n"/>
      <c r="E136" s="29">
        <f>IF($B136="","",SUMIFS(機種販売入力!$G$4:$G$503,機種販売入力!$B$4:$B$503,$B136))</f>
        <v/>
      </c>
      <c r="F136" s="29">
        <f>IF($B136="","",N($D136)*E136)</f>
        <v/>
      </c>
    </row>
    <row r="137">
      <c r="A137" s="42" t="n"/>
      <c r="B137" s="41" t="n"/>
      <c r="C137" s="42" t="n"/>
      <c r="D137" s="42" t="n"/>
      <c r="E137" s="29">
        <f>IF($B137="","",SUMIFS(機種販売入力!$G$4:$G$503,機種販売入力!$B$4:$B$503,$B137))</f>
        <v/>
      </c>
      <c r="F137" s="29">
        <f>IF($B137="","",N($D137)*E137)</f>
        <v/>
      </c>
    </row>
    <row r="138">
      <c r="A138" s="42" t="n"/>
      <c r="B138" s="41" t="n"/>
      <c r="C138" s="42" t="n"/>
      <c r="D138" s="42" t="n"/>
      <c r="E138" s="29">
        <f>IF($B138="","",SUMIFS(機種販売入力!$G$4:$G$503,機種販売入力!$B$4:$B$503,$B138))</f>
        <v/>
      </c>
      <c r="F138" s="29">
        <f>IF($B138="","",N($D138)*E138)</f>
        <v/>
      </c>
    </row>
    <row r="139">
      <c r="A139" s="42" t="n"/>
      <c r="B139" s="41" t="n"/>
      <c r="C139" s="42" t="n"/>
      <c r="D139" s="42" t="n"/>
      <c r="E139" s="29">
        <f>IF($B139="","",SUMIFS(機種販売入力!$G$4:$G$503,機種販売入力!$B$4:$B$503,$B139))</f>
        <v/>
      </c>
      <c r="F139" s="29">
        <f>IF($B139="","",N($D139)*E139)</f>
        <v/>
      </c>
    </row>
    <row r="140">
      <c r="A140" s="42" t="n"/>
      <c r="B140" s="41" t="n"/>
      <c r="C140" s="42" t="n"/>
      <c r="D140" s="42" t="n"/>
      <c r="E140" s="29">
        <f>IF($B140="","",SUMIFS(機種販売入力!$G$4:$G$503,機種販売入力!$B$4:$B$503,$B140))</f>
        <v/>
      </c>
      <c r="F140" s="29">
        <f>IF($B140="","",N($D140)*E140)</f>
        <v/>
      </c>
    </row>
    <row r="141">
      <c r="A141" s="42" t="n"/>
      <c r="B141" s="41" t="n"/>
      <c r="C141" s="42" t="n"/>
      <c r="D141" s="42" t="n"/>
      <c r="E141" s="29">
        <f>IF($B141="","",SUMIFS(機種販売入力!$G$4:$G$503,機種販売入力!$B$4:$B$503,$B141))</f>
        <v/>
      </c>
      <c r="F141" s="29">
        <f>IF($B141="","",N($D141)*E141)</f>
        <v/>
      </c>
    </row>
    <row r="142">
      <c r="A142" s="42" t="n"/>
      <c r="B142" s="41" t="n"/>
      <c r="C142" s="42" t="n"/>
      <c r="D142" s="42" t="n"/>
      <c r="E142" s="29">
        <f>IF($B142="","",SUMIFS(機種販売入力!$G$4:$G$503,機種販売入力!$B$4:$B$503,$B142))</f>
        <v/>
      </c>
      <c r="F142" s="29">
        <f>IF($B142="","",N($D142)*E142)</f>
        <v/>
      </c>
    </row>
    <row r="143">
      <c r="A143" s="42" t="n"/>
      <c r="B143" s="41" t="n"/>
      <c r="C143" s="42" t="n"/>
      <c r="D143" s="42" t="n"/>
      <c r="E143" s="29">
        <f>IF($B143="","",SUMIFS(機種販売入力!$G$4:$G$503,機種販売入力!$B$4:$B$503,$B143))</f>
        <v/>
      </c>
      <c r="F143" s="29">
        <f>IF($B143="","",N($D143)*E143)</f>
        <v/>
      </c>
    </row>
    <row r="144">
      <c r="A144" s="42" t="n"/>
      <c r="B144" s="41" t="n"/>
      <c r="C144" s="42" t="n"/>
      <c r="D144" s="42" t="n"/>
      <c r="E144" s="29">
        <f>IF($B144="","",SUMIFS(機種販売入力!$G$4:$G$503,機種販売入力!$B$4:$B$503,$B144))</f>
        <v/>
      </c>
      <c r="F144" s="29">
        <f>IF($B144="","",N($D144)*E144)</f>
        <v/>
      </c>
    </row>
    <row r="145">
      <c r="A145" s="42" t="n"/>
      <c r="B145" s="41" t="n"/>
      <c r="C145" s="42" t="n"/>
      <c r="D145" s="42" t="n"/>
      <c r="E145" s="29">
        <f>IF($B145="","",SUMIFS(機種販売入力!$G$4:$G$503,機種販売入力!$B$4:$B$503,$B145))</f>
        <v/>
      </c>
      <c r="F145" s="29">
        <f>IF($B145="","",N($D145)*E145)</f>
        <v/>
      </c>
    </row>
    <row r="146">
      <c r="A146" s="42" t="n"/>
      <c r="B146" s="41" t="n"/>
      <c r="C146" s="42" t="n"/>
      <c r="D146" s="42" t="n"/>
      <c r="E146" s="29">
        <f>IF($B146="","",SUMIFS(機種販売入力!$G$4:$G$503,機種販売入力!$B$4:$B$503,$B146))</f>
        <v/>
      </c>
      <c r="F146" s="29">
        <f>IF($B146="","",N($D146)*E146)</f>
        <v/>
      </c>
    </row>
    <row r="147">
      <c r="A147" s="42" t="n"/>
      <c r="B147" s="41" t="n"/>
      <c r="C147" s="42" t="n"/>
      <c r="D147" s="42" t="n"/>
      <c r="E147" s="29">
        <f>IF($B147="","",SUMIFS(機種販売入力!$G$4:$G$503,機種販売入力!$B$4:$B$503,$B147))</f>
        <v/>
      </c>
      <c r="F147" s="29">
        <f>IF($B147="","",N($D147)*E147)</f>
        <v/>
      </c>
    </row>
    <row r="148">
      <c r="A148" s="42" t="n"/>
      <c r="B148" s="41" t="n"/>
      <c r="C148" s="42" t="n"/>
      <c r="D148" s="42" t="n"/>
      <c r="E148" s="29">
        <f>IF($B148="","",SUMIFS(機種販売入力!$G$4:$G$503,機種販売入力!$B$4:$B$503,$B148))</f>
        <v/>
      </c>
      <c r="F148" s="29">
        <f>IF($B148="","",N($D148)*E148)</f>
        <v/>
      </c>
    </row>
    <row r="149">
      <c r="A149" s="42" t="n"/>
      <c r="B149" s="41" t="n"/>
      <c r="C149" s="42" t="n"/>
      <c r="D149" s="42" t="n"/>
      <c r="E149" s="29">
        <f>IF($B149="","",SUMIFS(機種販売入力!$G$4:$G$503,機種販売入力!$B$4:$B$503,$B149))</f>
        <v/>
      </c>
      <c r="F149" s="29">
        <f>IF($B149="","",N($D149)*E149)</f>
        <v/>
      </c>
    </row>
    <row r="150">
      <c r="A150" s="42" t="n"/>
      <c r="B150" s="41" t="n"/>
      <c r="C150" s="42" t="n"/>
      <c r="D150" s="42" t="n"/>
      <c r="E150" s="29">
        <f>IF($B150="","",SUMIFS(機種販売入力!$G$4:$G$503,機種販売入力!$B$4:$B$503,$B150))</f>
        <v/>
      </c>
      <c r="F150" s="29">
        <f>IF($B150="","",N($D150)*E150)</f>
        <v/>
      </c>
    </row>
    <row r="151">
      <c r="A151" s="42" t="n"/>
      <c r="B151" s="41" t="n"/>
      <c r="C151" s="42" t="n"/>
      <c r="D151" s="42" t="n"/>
      <c r="E151" s="29">
        <f>IF($B151="","",SUMIFS(機種販売入力!$G$4:$G$503,機種販売入力!$B$4:$B$503,$B151))</f>
        <v/>
      </c>
      <c r="F151" s="29">
        <f>IF($B151="","",N($D151)*E151)</f>
        <v/>
      </c>
    </row>
    <row r="152">
      <c r="A152" s="42" t="n"/>
      <c r="B152" s="41" t="n"/>
      <c r="C152" s="42" t="n"/>
      <c r="D152" s="42" t="n"/>
      <c r="E152" s="29">
        <f>IF($B152="","",SUMIFS(機種販売入力!$G$4:$G$503,機種販売入力!$B$4:$B$503,$B152))</f>
        <v/>
      </c>
      <c r="F152" s="29">
        <f>IF($B152="","",N($D152)*E152)</f>
        <v/>
      </c>
    </row>
    <row r="153">
      <c r="A153" s="42" t="n"/>
      <c r="B153" s="41" t="n"/>
      <c r="C153" s="42" t="n"/>
      <c r="D153" s="42" t="n"/>
      <c r="E153" s="29">
        <f>IF($B153="","",SUMIFS(機種販売入力!$G$4:$G$503,機種販売入力!$B$4:$B$503,$B153))</f>
        <v/>
      </c>
      <c r="F153" s="29">
        <f>IF($B153="","",N($D153)*E153)</f>
        <v/>
      </c>
    </row>
    <row r="154">
      <c r="A154" s="42" t="n"/>
      <c r="B154" s="41" t="n"/>
      <c r="C154" s="42" t="n"/>
      <c r="D154" s="42" t="n"/>
      <c r="E154" s="29">
        <f>IF($B154="","",SUMIFS(機種販売入力!$G$4:$G$503,機種販売入力!$B$4:$B$503,$B154))</f>
        <v/>
      </c>
      <c r="F154" s="29">
        <f>IF($B154="","",N($D154)*E154)</f>
        <v/>
      </c>
    </row>
    <row r="155">
      <c r="A155" s="42" t="n"/>
      <c r="B155" s="41" t="n"/>
      <c r="C155" s="42" t="n"/>
      <c r="D155" s="42" t="n"/>
      <c r="E155" s="29">
        <f>IF($B155="","",SUMIFS(機種販売入力!$G$4:$G$503,機種販売入力!$B$4:$B$503,$B155))</f>
        <v/>
      </c>
      <c r="F155" s="29">
        <f>IF($B155="","",N($D155)*E155)</f>
        <v/>
      </c>
    </row>
    <row r="156">
      <c r="A156" s="42" t="n"/>
      <c r="B156" s="41" t="n"/>
      <c r="C156" s="42" t="n"/>
      <c r="D156" s="42" t="n"/>
      <c r="E156" s="29">
        <f>IF($B156="","",SUMIFS(機種販売入力!$G$4:$G$503,機種販売入力!$B$4:$B$503,$B156))</f>
        <v/>
      </c>
      <c r="F156" s="29">
        <f>IF($B156="","",N($D156)*E156)</f>
        <v/>
      </c>
    </row>
    <row r="157">
      <c r="A157" s="42" t="n"/>
      <c r="B157" s="41" t="n"/>
      <c r="C157" s="42" t="n"/>
      <c r="D157" s="42" t="n"/>
      <c r="E157" s="29">
        <f>IF($B157="","",SUMIFS(機種販売入力!$G$4:$G$503,機種販売入力!$B$4:$B$503,$B157))</f>
        <v/>
      </c>
      <c r="F157" s="29">
        <f>IF($B157="","",N($D157)*E157)</f>
        <v/>
      </c>
    </row>
    <row r="158">
      <c r="A158" s="42" t="n"/>
      <c r="B158" s="41" t="n"/>
      <c r="C158" s="42" t="n"/>
      <c r="D158" s="42" t="n"/>
      <c r="E158" s="29">
        <f>IF($B158="","",SUMIFS(機種販売入力!$G$4:$G$503,機種販売入力!$B$4:$B$503,$B158))</f>
        <v/>
      </c>
      <c r="F158" s="29">
        <f>IF($B158="","",N($D158)*E158)</f>
        <v/>
      </c>
    </row>
    <row r="159">
      <c r="A159" s="42" t="n"/>
      <c r="B159" s="41" t="n"/>
      <c r="C159" s="42" t="n"/>
      <c r="D159" s="42" t="n"/>
      <c r="E159" s="29">
        <f>IF($B159="","",SUMIFS(機種販売入力!$G$4:$G$503,機種販売入力!$B$4:$B$503,$B159))</f>
        <v/>
      </c>
      <c r="F159" s="29">
        <f>IF($B159="","",N($D159)*E159)</f>
        <v/>
      </c>
    </row>
    <row r="160">
      <c r="A160" s="42" t="n"/>
      <c r="B160" s="41" t="n"/>
      <c r="C160" s="42" t="n"/>
      <c r="D160" s="42" t="n"/>
      <c r="E160" s="29">
        <f>IF($B160="","",SUMIFS(機種販売入力!$G$4:$G$503,機種販売入力!$B$4:$B$503,$B160))</f>
        <v/>
      </c>
      <c r="F160" s="29">
        <f>IF($B160="","",N($D160)*E160)</f>
        <v/>
      </c>
    </row>
    <row r="161">
      <c r="A161" s="42" t="n"/>
      <c r="B161" s="41" t="n"/>
      <c r="C161" s="42" t="n"/>
      <c r="D161" s="42" t="n"/>
      <c r="E161" s="29">
        <f>IF($B161="","",SUMIFS(機種販売入力!$G$4:$G$503,機種販売入力!$B$4:$B$503,$B161))</f>
        <v/>
      </c>
      <c r="F161" s="29">
        <f>IF($B161="","",N($D161)*E161)</f>
        <v/>
      </c>
    </row>
    <row r="162">
      <c r="A162" s="42" t="n"/>
      <c r="B162" s="41" t="n"/>
      <c r="C162" s="42" t="n"/>
      <c r="D162" s="42" t="n"/>
      <c r="E162" s="29">
        <f>IF($B162="","",SUMIFS(機種販売入力!$G$4:$G$503,機種販売入力!$B$4:$B$503,$B162))</f>
        <v/>
      </c>
      <c r="F162" s="29">
        <f>IF($B162="","",N($D162)*E162)</f>
        <v/>
      </c>
    </row>
    <row r="163">
      <c r="A163" s="42" t="n"/>
      <c r="B163" s="41" t="n"/>
      <c r="C163" s="42" t="n"/>
      <c r="D163" s="42" t="n"/>
      <c r="E163" s="29">
        <f>IF($B163="","",SUMIFS(機種販売入力!$G$4:$G$503,機種販売入力!$B$4:$B$503,$B163))</f>
        <v/>
      </c>
      <c r="F163" s="29">
        <f>IF($B163="","",N($D163)*E163)</f>
        <v/>
      </c>
    </row>
    <row r="164">
      <c r="A164" s="42" t="n"/>
      <c r="B164" s="41" t="n"/>
      <c r="C164" s="42" t="n"/>
      <c r="D164" s="42" t="n"/>
      <c r="E164" s="29">
        <f>IF($B164="","",SUMIFS(機種販売入力!$G$4:$G$503,機種販売入力!$B$4:$B$503,$B164))</f>
        <v/>
      </c>
      <c r="F164" s="29">
        <f>IF($B164="","",N($D164)*E164)</f>
        <v/>
      </c>
    </row>
    <row r="165">
      <c r="A165" s="42" t="n"/>
      <c r="B165" s="41" t="n"/>
      <c r="C165" s="42" t="n"/>
      <c r="D165" s="42" t="n"/>
      <c r="E165" s="29">
        <f>IF($B165="","",SUMIFS(機種販売入力!$G$4:$G$503,機種販売入力!$B$4:$B$503,$B165))</f>
        <v/>
      </c>
      <c r="F165" s="29">
        <f>IF($B165="","",N($D165)*E165)</f>
        <v/>
      </c>
    </row>
    <row r="166">
      <c r="A166" s="42" t="n"/>
      <c r="B166" s="41" t="n"/>
      <c r="C166" s="42" t="n"/>
      <c r="D166" s="42" t="n"/>
      <c r="E166" s="29">
        <f>IF($B166="","",SUMIFS(機種販売入力!$G$4:$G$503,機種販売入力!$B$4:$B$503,$B166))</f>
        <v/>
      </c>
      <c r="F166" s="29">
        <f>IF($B166="","",N($D166)*E166)</f>
        <v/>
      </c>
    </row>
    <row r="167">
      <c r="A167" s="42" t="n"/>
      <c r="B167" s="41" t="n"/>
      <c r="C167" s="42" t="n"/>
      <c r="D167" s="42" t="n"/>
      <c r="E167" s="29">
        <f>IF($B167="","",SUMIFS(機種販売入力!$G$4:$G$503,機種販売入力!$B$4:$B$503,$B167))</f>
        <v/>
      </c>
      <c r="F167" s="29">
        <f>IF($B167="","",N($D167)*E167)</f>
        <v/>
      </c>
    </row>
    <row r="168">
      <c r="A168" s="42" t="n"/>
      <c r="B168" s="41" t="n"/>
      <c r="C168" s="42" t="n"/>
      <c r="D168" s="42" t="n"/>
      <c r="E168" s="29">
        <f>IF($B168="","",SUMIFS(機種販売入力!$G$4:$G$503,機種販売入力!$B$4:$B$503,$B168))</f>
        <v/>
      </c>
      <c r="F168" s="29">
        <f>IF($B168="","",N($D168)*E168)</f>
        <v/>
      </c>
    </row>
    <row r="169">
      <c r="A169" s="42" t="n"/>
      <c r="B169" s="41" t="n"/>
      <c r="C169" s="42" t="n"/>
      <c r="D169" s="42" t="n"/>
      <c r="E169" s="29">
        <f>IF($B169="","",SUMIFS(機種販売入力!$G$4:$G$503,機種販売入力!$B$4:$B$503,$B169))</f>
        <v/>
      </c>
      <c r="F169" s="29">
        <f>IF($B169="","",N($D169)*E169)</f>
        <v/>
      </c>
    </row>
    <row r="170">
      <c r="A170" s="42" t="n"/>
      <c r="B170" s="41" t="n"/>
      <c r="C170" s="42" t="n"/>
      <c r="D170" s="42" t="n"/>
      <c r="E170" s="29">
        <f>IF($B170="","",SUMIFS(機種販売入力!$G$4:$G$503,機種販売入力!$B$4:$B$503,$B170))</f>
        <v/>
      </c>
      <c r="F170" s="29">
        <f>IF($B170="","",N($D170)*E170)</f>
        <v/>
      </c>
    </row>
    <row r="171">
      <c r="A171" s="42" t="n"/>
      <c r="B171" s="41" t="n"/>
      <c r="C171" s="42" t="n"/>
      <c r="D171" s="42" t="n"/>
      <c r="E171" s="29">
        <f>IF($B171="","",SUMIFS(機種販売入力!$G$4:$G$503,機種販売入力!$B$4:$B$503,$B171))</f>
        <v/>
      </c>
      <c r="F171" s="29">
        <f>IF($B171="","",N($D171)*E171)</f>
        <v/>
      </c>
    </row>
    <row r="172">
      <c r="A172" s="42" t="n"/>
      <c r="B172" s="41" t="n"/>
      <c r="C172" s="42" t="n"/>
      <c r="D172" s="42" t="n"/>
      <c r="E172" s="29">
        <f>IF($B172="","",SUMIFS(機種販売入力!$G$4:$G$503,機種販売入力!$B$4:$B$503,$B172))</f>
        <v/>
      </c>
      <c r="F172" s="29">
        <f>IF($B172="","",N($D172)*E172)</f>
        <v/>
      </c>
    </row>
    <row r="173">
      <c r="A173" s="42" t="n"/>
      <c r="B173" s="41" t="n"/>
      <c r="C173" s="42" t="n"/>
      <c r="D173" s="42" t="n"/>
      <c r="E173" s="29">
        <f>IF($B173="","",SUMIFS(機種販売入力!$G$4:$G$503,機種販売入力!$B$4:$B$503,$B173))</f>
        <v/>
      </c>
      <c r="F173" s="29">
        <f>IF($B173="","",N($D173)*E173)</f>
        <v/>
      </c>
    </row>
    <row r="174">
      <c r="A174" s="42" t="n"/>
      <c r="B174" s="41" t="n"/>
      <c r="C174" s="42" t="n"/>
      <c r="D174" s="42" t="n"/>
      <c r="E174" s="29">
        <f>IF($B174="","",SUMIFS(機種販売入力!$G$4:$G$503,機種販売入力!$B$4:$B$503,$B174))</f>
        <v/>
      </c>
      <c r="F174" s="29">
        <f>IF($B174="","",N($D174)*E174)</f>
        <v/>
      </c>
    </row>
    <row r="175">
      <c r="A175" s="42" t="n"/>
      <c r="B175" s="41" t="n"/>
      <c r="C175" s="42" t="n"/>
      <c r="D175" s="42" t="n"/>
      <c r="E175" s="29">
        <f>IF($B175="","",SUMIFS(機種販売入力!$G$4:$G$503,機種販売入力!$B$4:$B$503,$B175))</f>
        <v/>
      </c>
      <c r="F175" s="29">
        <f>IF($B175="","",N($D175)*E175)</f>
        <v/>
      </c>
    </row>
    <row r="176">
      <c r="A176" s="42" t="n"/>
      <c r="B176" s="41" t="n"/>
      <c r="C176" s="42" t="n"/>
      <c r="D176" s="42" t="n"/>
      <c r="E176" s="29">
        <f>IF($B176="","",SUMIFS(機種販売入力!$G$4:$G$503,機種販売入力!$B$4:$B$503,$B176))</f>
        <v/>
      </c>
      <c r="F176" s="29">
        <f>IF($B176="","",N($D176)*E176)</f>
        <v/>
      </c>
    </row>
    <row r="177">
      <c r="A177" s="42" t="n"/>
      <c r="B177" s="41" t="n"/>
      <c r="C177" s="42" t="n"/>
      <c r="D177" s="42" t="n"/>
      <c r="E177" s="29">
        <f>IF($B177="","",SUMIFS(機種販売入力!$G$4:$G$503,機種販売入力!$B$4:$B$503,$B177))</f>
        <v/>
      </c>
      <c r="F177" s="29">
        <f>IF($B177="","",N($D177)*E177)</f>
        <v/>
      </c>
    </row>
    <row r="178">
      <c r="A178" s="42" t="n"/>
      <c r="B178" s="41" t="n"/>
      <c r="C178" s="42" t="n"/>
      <c r="D178" s="42" t="n"/>
      <c r="E178" s="29">
        <f>IF($B178="","",SUMIFS(機種販売入力!$G$4:$G$503,機種販売入力!$B$4:$B$503,$B178))</f>
        <v/>
      </c>
      <c r="F178" s="29">
        <f>IF($B178="","",N($D178)*E178)</f>
        <v/>
      </c>
    </row>
    <row r="179">
      <c r="A179" s="42" t="n"/>
      <c r="B179" s="41" t="n"/>
      <c r="C179" s="42" t="n"/>
      <c r="D179" s="42" t="n"/>
      <c r="E179" s="29">
        <f>IF($B179="","",SUMIFS(機種販売入力!$G$4:$G$503,機種販売入力!$B$4:$B$503,$B179))</f>
        <v/>
      </c>
      <c r="F179" s="29">
        <f>IF($B179="","",N($D179)*E179)</f>
        <v/>
      </c>
    </row>
    <row r="180">
      <c r="A180" s="42" t="n"/>
      <c r="B180" s="41" t="n"/>
      <c r="C180" s="42" t="n"/>
      <c r="D180" s="42" t="n"/>
      <c r="E180" s="29">
        <f>IF($B180="","",SUMIFS(機種販売入力!$G$4:$G$503,機種販売入力!$B$4:$B$503,$B180))</f>
        <v/>
      </c>
      <c r="F180" s="29">
        <f>IF($B180="","",N($D180)*E180)</f>
        <v/>
      </c>
    </row>
    <row r="181">
      <c r="A181" s="42" t="n"/>
      <c r="B181" s="41" t="n"/>
      <c r="C181" s="42" t="n"/>
      <c r="D181" s="42" t="n"/>
      <c r="E181" s="29">
        <f>IF($B181="","",SUMIFS(機種販売入力!$G$4:$G$503,機種販売入力!$B$4:$B$503,$B181))</f>
        <v/>
      </c>
      <c r="F181" s="29">
        <f>IF($B181="","",N($D181)*E181)</f>
        <v/>
      </c>
    </row>
    <row r="182">
      <c r="A182" s="42" t="n"/>
      <c r="B182" s="41" t="n"/>
      <c r="C182" s="42" t="n"/>
      <c r="D182" s="42" t="n"/>
      <c r="E182" s="29">
        <f>IF($B182="","",SUMIFS(機種販売入力!$G$4:$G$503,機種販売入力!$B$4:$B$503,$B182))</f>
        <v/>
      </c>
      <c r="F182" s="29">
        <f>IF($B182="","",N($D182)*E182)</f>
        <v/>
      </c>
    </row>
    <row r="183">
      <c r="A183" s="42" t="n"/>
      <c r="B183" s="41" t="n"/>
      <c r="C183" s="42" t="n"/>
      <c r="D183" s="42" t="n"/>
      <c r="E183" s="29">
        <f>IF($B183="","",SUMIFS(機種販売入力!$G$4:$G$503,機種販売入力!$B$4:$B$503,$B183))</f>
        <v/>
      </c>
      <c r="F183" s="29">
        <f>IF($B183="","",N($D183)*E183)</f>
        <v/>
      </c>
    </row>
    <row r="184">
      <c r="A184" s="42" t="n"/>
      <c r="B184" s="41" t="n"/>
      <c r="C184" s="42" t="n"/>
      <c r="D184" s="42" t="n"/>
      <c r="E184" s="29">
        <f>IF($B184="","",SUMIFS(機種販売入力!$G$4:$G$503,機種販売入力!$B$4:$B$503,$B184))</f>
        <v/>
      </c>
      <c r="F184" s="29">
        <f>IF($B184="","",N($D184)*E184)</f>
        <v/>
      </c>
    </row>
    <row r="185">
      <c r="A185" s="42" t="n"/>
      <c r="B185" s="41" t="n"/>
      <c r="C185" s="42" t="n"/>
      <c r="D185" s="42" t="n"/>
      <c r="E185" s="29">
        <f>IF($B185="","",SUMIFS(機種販売入力!$G$4:$G$503,機種販売入力!$B$4:$B$503,$B185))</f>
        <v/>
      </c>
      <c r="F185" s="29">
        <f>IF($B185="","",N($D185)*E185)</f>
        <v/>
      </c>
    </row>
    <row r="186">
      <c r="A186" s="42" t="n"/>
      <c r="B186" s="41" t="n"/>
      <c r="C186" s="42" t="n"/>
      <c r="D186" s="42" t="n"/>
      <c r="E186" s="29">
        <f>IF($B186="","",SUMIFS(機種販売入力!$G$4:$G$503,機種販売入力!$B$4:$B$503,$B186))</f>
        <v/>
      </c>
      <c r="F186" s="29">
        <f>IF($B186="","",N($D186)*E186)</f>
        <v/>
      </c>
    </row>
    <row r="187">
      <c r="A187" s="42" t="n"/>
      <c r="B187" s="41" t="n"/>
      <c r="C187" s="42" t="n"/>
      <c r="D187" s="42" t="n"/>
      <c r="E187" s="29">
        <f>IF($B187="","",SUMIFS(機種販売入力!$G$4:$G$503,機種販売入力!$B$4:$B$503,$B187))</f>
        <v/>
      </c>
      <c r="F187" s="29">
        <f>IF($B187="","",N($D187)*E187)</f>
        <v/>
      </c>
    </row>
    <row r="188">
      <c r="A188" s="42" t="n"/>
      <c r="B188" s="41" t="n"/>
      <c r="C188" s="42" t="n"/>
      <c r="D188" s="42" t="n"/>
      <c r="E188" s="29">
        <f>IF($B188="","",SUMIFS(機種販売入力!$G$4:$G$503,機種販売入力!$B$4:$B$503,$B188))</f>
        <v/>
      </c>
      <c r="F188" s="29">
        <f>IF($B188="","",N($D188)*E188)</f>
        <v/>
      </c>
    </row>
    <row r="189">
      <c r="A189" s="42" t="n"/>
      <c r="B189" s="41" t="n"/>
      <c r="C189" s="42" t="n"/>
      <c r="D189" s="42" t="n"/>
      <c r="E189" s="29">
        <f>IF($B189="","",SUMIFS(機種販売入力!$G$4:$G$503,機種販売入力!$B$4:$B$503,$B189))</f>
        <v/>
      </c>
      <c r="F189" s="29">
        <f>IF($B189="","",N($D189)*E189)</f>
        <v/>
      </c>
    </row>
    <row r="190">
      <c r="A190" s="42" t="n"/>
      <c r="B190" s="41" t="n"/>
      <c r="C190" s="42" t="n"/>
      <c r="D190" s="42" t="n"/>
      <c r="E190" s="29">
        <f>IF($B190="","",SUMIFS(機種販売入力!$G$4:$G$503,機種販売入力!$B$4:$B$503,$B190))</f>
        <v/>
      </c>
      <c r="F190" s="29">
        <f>IF($B190="","",N($D190)*E190)</f>
        <v/>
      </c>
    </row>
    <row r="191">
      <c r="A191" s="42" t="n"/>
      <c r="B191" s="41" t="n"/>
      <c r="C191" s="42" t="n"/>
      <c r="D191" s="42" t="n"/>
      <c r="E191" s="29">
        <f>IF($B191="","",SUMIFS(機種販売入力!$G$4:$G$503,機種販売入力!$B$4:$B$503,$B191))</f>
        <v/>
      </c>
      <c r="F191" s="29">
        <f>IF($B191="","",N($D191)*E191)</f>
        <v/>
      </c>
    </row>
    <row r="192">
      <c r="A192" s="42" t="n"/>
      <c r="B192" s="41" t="n"/>
      <c r="C192" s="42" t="n"/>
      <c r="D192" s="42" t="n"/>
      <c r="E192" s="29">
        <f>IF($B192="","",SUMIFS(機種販売入力!$G$4:$G$503,機種販売入力!$B$4:$B$503,$B192))</f>
        <v/>
      </c>
      <c r="F192" s="29">
        <f>IF($B192="","",N($D192)*E192)</f>
        <v/>
      </c>
    </row>
    <row r="193">
      <c r="A193" s="42" t="n"/>
      <c r="B193" s="41" t="n"/>
      <c r="C193" s="42" t="n"/>
      <c r="D193" s="42" t="n"/>
      <c r="E193" s="29">
        <f>IF($B193="","",SUMIFS(機種販売入力!$G$4:$G$503,機種販売入力!$B$4:$B$503,$B193))</f>
        <v/>
      </c>
      <c r="F193" s="29">
        <f>IF($B193="","",N($D193)*E193)</f>
        <v/>
      </c>
    </row>
    <row r="194">
      <c r="A194" s="42" t="n"/>
      <c r="B194" s="41" t="n"/>
      <c r="C194" s="42" t="n"/>
      <c r="D194" s="42" t="n"/>
      <c r="E194" s="29">
        <f>IF($B194="","",SUMIFS(機種販売入力!$G$4:$G$503,機種販売入力!$B$4:$B$503,$B194))</f>
        <v/>
      </c>
      <c r="F194" s="29">
        <f>IF($B194="","",N($D194)*E194)</f>
        <v/>
      </c>
    </row>
    <row r="195">
      <c r="A195" s="42" t="n"/>
      <c r="B195" s="41" t="n"/>
      <c r="C195" s="42" t="n"/>
      <c r="D195" s="42" t="n"/>
      <c r="E195" s="29">
        <f>IF($B195="","",SUMIFS(機種販売入力!$G$4:$G$503,機種販売入力!$B$4:$B$503,$B195))</f>
        <v/>
      </c>
      <c r="F195" s="29">
        <f>IF($B195="","",N($D195)*E195)</f>
        <v/>
      </c>
    </row>
    <row r="196">
      <c r="A196" s="42" t="n"/>
      <c r="B196" s="41" t="n"/>
      <c r="C196" s="42" t="n"/>
      <c r="D196" s="42" t="n"/>
      <c r="E196" s="29">
        <f>IF($B196="","",SUMIFS(機種販売入力!$G$4:$G$503,機種販売入力!$B$4:$B$503,$B196))</f>
        <v/>
      </c>
      <c r="F196" s="29">
        <f>IF($B196="","",N($D196)*E196)</f>
        <v/>
      </c>
    </row>
    <row r="197">
      <c r="A197" s="42" t="n"/>
      <c r="B197" s="41" t="n"/>
      <c r="C197" s="42" t="n"/>
      <c r="D197" s="42" t="n"/>
      <c r="E197" s="29">
        <f>IF($B197="","",SUMIFS(機種販売入力!$G$4:$G$503,機種販売入力!$B$4:$B$503,$B197))</f>
        <v/>
      </c>
      <c r="F197" s="29">
        <f>IF($B197="","",N($D197)*E197)</f>
        <v/>
      </c>
    </row>
    <row r="198">
      <c r="A198" s="42" t="n"/>
      <c r="B198" s="41" t="n"/>
      <c r="C198" s="42" t="n"/>
      <c r="D198" s="42" t="n"/>
      <c r="E198" s="29">
        <f>IF($B198="","",SUMIFS(機種販売入力!$G$4:$G$503,機種販売入力!$B$4:$B$503,$B198))</f>
        <v/>
      </c>
      <c r="F198" s="29">
        <f>IF($B198="","",N($D198)*E198)</f>
        <v/>
      </c>
    </row>
    <row r="199">
      <c r="A199" s="42" t="n"/>
      <c r="B199" s="41" t="n"/>
      <c r="C199" s="42" t="n"/>
      <c r="D199" s="42" t="n"/>
      <c r="E199" s="29">
        <f>IF($B199="","",SUMIFS(機種販売入力!$G$4:$G$503,機種販売入力!$B$4:$B$503,$B199))</f>
        <v/>
      </c>
      <c r="F199" s="29">
        <f>IF($B199="","",N($D199)*E199)</f>
        <v/>
      </c>
    </row>
    <row r="200">
      <c r="A200" s="42" t="n"/>
      <c r="B200" s="41" t="n"/>
      <c r="C200" s="42" t="n"/>
      <c r="D200" s="42" t="n"/>
      <c r="E200" s="29">
        <f>IF($B200="","",SUMIFS(機種販売入力!$G$4:$G$503,機種販売入力!$B$4:$B$503,$B200))</f>
        <v/>
      </c>
      <c r="F200" s="29">
        <f>IF($B200="","",N($D200)*E200)</f>
        <v/>
      </c>
    </row>
    <row r="201">
      <c r="A201" s="42" t="n"/>
      <c r="B201" s="41" t="n"/>
      <c r="C201" s="42" t="n"/>
      <c r="D201" s="42" t="n"/>
      <c r="E201" s="29">
        <f>IF($B201="","",SUMIFS(機種販売入力!$G$4:$G$503,機種販売入力!$B$4:$B$503,$B201))</f>
        <v/>
      </c>
      <c r="F201" s="29">
        <f>IF($B201="","",N($D201)*E201)</f>
        <v/>
      </c>
    </row>
    <row r="202">
      <c r="A202" s="42" t="n"/>
      <c r="B202" s="41" t="n"/>
      <c r="C202" s="42" t="n"/>
      <c r="D202" s="42" t="n"/>
      <c r="E202" s="29">
        <f>IF($B202="","",SUMIFS(機種販売入力!$G$4:$G$503,機種販売入力!$B$4:$B$503,$B202))</f>
        <v/>
      </c>
      <c r="F202" s="29">
        <f>IF($B202="","",N($D202)*E202)</f>
        <v/>
      </c>
    </row>
    <row r="203">
      <c r="A203" s="42" t="n"/>
      <c r="B203" s="41" t="n"/>
      <c r="C203" s="42" t="n"/>
      <c r="D203" s="42" t="n"/>
      <c r="E203" s="29">
        <f>IF($B203="","",SUMIFS(機種販売入力!$G$4:$G$503,機種販売入力!$B$4:$B$503,$B203))</f>
        <v/>
      </c>
      <c r="F203" s="29">
        <f>IF($B203="","",N($D203)*E203)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2026-10-02T13:44:35Z</dcterms:created>
  <dcterms:modified xsi:type="dcterms:W3CDTF">2026-10-02T13:44:36Z</dcterms:modified>
</cp:coreProperties>
</file>