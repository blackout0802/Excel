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捗確認" sheetId="1" state="visible" r:id="rId1"/>
    <sheet xmlns:r="http://schemas.openxmlformats.org/officeDocument/2006/relationships" name="目標設定" sheetId="2" state="visible" r:id="rId2"/>
    <sheet xmlns:r="http://schemas.openxmlformats.org/officeDocument/2006/relationships" name="ラダー" sheetId="3" state="visible" r:id="rId3"/>
    <sheet xmlns:r="http://schemas.openxmlformats.org/officeDocument/2006/relationships" name="機種販売入力" sheetId="4" state="visible" r:id="rId4"/>
    <sheet xmlns:r="http://schemas.openxmlformats.org/officeDocument/2006/relationships" name="機種マスタ" sheetId="5" state="visible" r:id="rId5"/>
    <sheet xmlns:r="http://schemas.openxmlformats.org/officeDocument/2006/relationships" name="グラフ用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yyyy&quot;年&quot;m&quot;月&quot;"/>
    <numFmt numFmtId="165" formatCode="0&quot;日&quot;"/>
    <numFmt numFmtId="166" formatCode="0.0%"/>
    <numFmt numFmtId="167" formatCode="0.0"/>
    <numFmt numFmtId="168" formatCode="+0.0;-0.0;0.0"/>
    <numFmt numFmtId="169" formatCode="m/d(aaa)"/>
    <numFmt numFmtId="170" formatCode="yyyy/m/d"/>
    <numFmt numFmtId="171" formatCode="m/d"/>
  </numFmts>
  <fonts count="12">
    <font>
      <name val="Calibri"/>
      <family val="2"/>
      <color theme="1"/>
      <sz val="11"/>
      <scheme val="minor"/>
    </font>
    <font>
      <name val="Meiryo UI"/>
      <b val="1"/>
      <color rgb="00002060"/>
      <sz val="16"/>
    </font>
    <font>
      <name val="Meiryo UI"/>
      <b val="1"/>
      <sz val="10"/>
    </font>
    <font>
      <name val="Meiryo UI"/>
      <color rgb="000000FF"/>
      <sz val="10"/>
    </font>
    <font>
      <name val="Meiryo UI"/>
      <sz val="10"/>
    </font>
    <font>
      <name val="Meiryo UI"/>
      <color rgb="00666666"/>
      <sz val="9"/>
    </font>
    <font>
      <name val="Meiryo UI"/>
      <b val="1"/>
      <color rgb="00FFFFFF"/>
      <sz val="10"/>
    </font>
    <font>
      <name val="Meiryo UI"/>
      <b val="1"/>
      <color rgb="00C00000"/>
      <sz val="10"/>
    </font>
    <font>
      <name val="Meiryo UI"/>
      <color rgb="000563C1"/>
      <sz val="10"/>
      <u val="single"/>
    </font>
    <font>
      <name val="Meiryo UI"/>
      <b val="1"/>
      <color rgb="00002060"/>
      <sz val="12"/>
    </font>
    <font>
      <name val="Meiryo UI"/>
      <b val="1"/>
      <color rgb="00000000"/>
      <sz val="10"/>
    </font>
    <font>
      <name val="Meiryo U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002060"/>
      </patternFill>
    </fill>
    <fill>
      <patternFill patternType="solid">
        <fgColor rgb="00EDEDED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center" vertical="center" wrapText="1"/>
    </xf>
    <xf numFmtId="168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0" borderId="0" pivotButton="0" quotePrefix="0" xfId="0"/>
    <xf numFmtId="3" fontId="9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3" fontId="3" fillId="2" borderId="1" applyAlignment="1" applyProtection="1" pivotButton="0" quotePrefix="0" xfId="0">
      <alignment horizontal="center" vertical="center" wrapText="1"/>
      <protection locked="0" hidden="0"/>
    </xf>
    <xf numFmtId="3" fontId="4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70" fontId="3" fillId="2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wrapText="1"/>
    </xf>
    <xf numFmtId="9" fontId="3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9" fontId="3" fillId="2" borderId="1" applyAlignment="1" applyProtection="1" pivotButton="0" quotePrefix="0" xfId="0">
      <alignment horizontal="center" vertical="center" wrapText="1"/>
      <protection locked="0" hidden="0"/>
    </xf>
    <xf numFmtId="0" fontId="3" fillId="2" borderId="1" applyAlignment="1" applyProtection="1" pivotButton="0" quotePrefix="0" xfId="0">
      <alignment horizontal="left" vertical="center"/>
      <protection locked="0" hidden="0"/>
    </xf>
    <xf numFmtId="0" fontId="3" fillId="2" borderId="1" applyAlignment="1" applyProtection="1" pivotButton="0" quotePrefix="0" xfId="0">
      <alignment horizontal="center" vertical="center" wrapText="1"/>
      <protection locked="0" hidden="0"/>
    </xf>
    <xf numFmtId="171" fontId="0" fillId="0" borderId="0" pivotButton="0" quotePrefix="0" xfId="0"/>
    <xf numFmtId="166" fontId="0" fillId="0" borderId="0" pivotButton="0" quotePrefix="0" xfId="0"/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center" vertical="center" wrapText="1"/>
    </xf>
    <xf numFmtId="168" fontId="2" fillId="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shrinkToFit="1"/>
    </xf>
    <xf numFmtId="166" fontId="4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70" fontId="3" fillId="2" borderId="1" applyAlignment="1" pivotButton="0" quotePrefix="0" xfId="0">
      <alignment horizontal="center" vertical="center" wrapText="1"/>
    </xf>
    <xf numFmtId="169" fontId="3" fillId="2" borderId="1" applyAlignment="1" applyProtection="1" pivotButton="0" quotePrefix="0" xfId="0">
      <alignment horizontal="center" vertical="center" wrapText="1"/>
      <protection locked="0" hidden="0"/>
    </xf>
    <xf numFmtId="170" fontId="3" fillId="2" borderId="1" applyAlignment="1" applyProtection="1" pivotButton="0" quotePrefix="0" xfId="0">
      <alignment horizontal="center" vertical="center" wrapText="1"/>
      <protection locked="0" hidden="0"/>
    </xf>
    <xf numFmtId="171" fontId="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10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1F4E78"/>
      </font>
      <fill>
        <patternFill patternType="solid">
          <fgColor rgb="00DDEBF7"/>
          <bgColor rgb="00DDEBF7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99999"/>
      </font>
    </dxf>
    <dxf>
      <font>
        <color rgb="00C00000"/>
      </font>
    </dxf>
    <dxf>
      <font>
        <color rgb="00D9D9D9"/>
      </font>
      <fill>
        <patternFill patternType="solid">
          <fgColor rgb="00D9D9D9"/>
          <bgColor rgb="00D9D9D9"/>
        </patternFill>
      </fill>
    </dxf>
    <dxf>
      <font>
        <b val="1"/>
      </font>
      <fill>
        <patternFill patternType="solid">
          <fgColor rgb="00FFD966"/>
          <bgColor rgb="00FFD966"/>
        </patternFill>
      </fill>
    </dxf>
    <dxf>
      <font>
        <color rgb="000070C0"/>
      </font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累計達成率の推移(主要5項目 vs 理想ペース)</a:t>
            </a:r>
          </a:p>
        </rich>
      </tx>
    </title>
    <plotArea>
      <lineChart>
        <grouping val="standard"/>
        <ser>
          <idx val="0"/>
          <order val="0"/>
          <tx>
            <strRef>
              <f>'グラフ用'!C1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'グラフ用'!$A$2:$A$32</f>
            </numRef>
          </cat>
          <val>
            <numRef>
              <f>'グラフ用'!$C$2:$C$32</f>
            </numRef>
          </val>
          <smooth val="0"/>
        </ser>
        <ser>
          <idx val="1"/>
          <order val="1"/>
          <tx>
            <strRef>
              <f>'グラフ用'!D1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'グラフ用'!$A$2:$A$32</f>
            </numRef>
          </cat>
          <val>
            <numRef>
              <f>'グラフ用'!$D$2:$D$32</f>
            </numRef>
          </val>
          <smooth val="0"/>
        </ser>
        <ser>
          <idx val="2"/>
          <order val="2"/>
          <tx>
            <strRef>
              <f>'グラフ用'!E1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'グラフ用'!$A$2:$A$32</f>
            </numRef>
          </cat>
          <val>
            <numRef>
              <f>'グラフ用'!$E$2:$E$32</f>
            </numRef>
          </val>
          <smooth val="0"/>
        </ser>
        <ser>
          <idx val="3"/>
          <order val="3"/>
          <tx>
            <strRef>
              <f>'グラフ用'!F1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'グラフ用'!$A$2:$A$32</f>
            </numRef>
          </cat>
          <val>
            <numRef>
              <f>'グラフ用'!$F$2:$F$32</f>
            </numRef>
          </val>
          <smooth val="0"/>
        </ser>
        <ser>
          <idx val="4"/>
          <order val="4"/>
          <tx>
            <strRef>
              <f>'グラフ用'!G1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'グラフ用'!$A$2:$A$32</f>
            </numRef>
          </cat>
          <val>
            <numRef>
              <f>'グラフ用'!$G$2:$G$32</f>
            </numRef>
          </val>
          <smooth val="0"/>
        </ser>
        <ser>
          <idx val="5"/>
          <order val="5"/>
          <tx>
            <strRef>
              <f>'グラフ用'!O1</f>
            </strRef>
          </tx>
          <spPr>
            <a:ln xmlns:a="http://schemas.openxmlformats.org/drawingml/2006/main">
              <a:solidFill>
                <a:srgbClr val="7F7F7F"/>
              </a:solidFill>
              <a:prstDash val="dash"/>
            </a:ln>
          </spPr>
          <marker>
            <symbol val="non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'グラフ用'!$A$2:$A$32</f>
            </numRef>
          </cat>
          <val>
            <numRef>
              <f>'グラフ用'!$O$2:$O$32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27</row>
      <rowOff>0</rowOff>
    </from>
    <ext cx="6840000" cy="225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6914;&#25431;&#30906;&#35469;'!A4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</cols>
  <sheetData>
    <row r="1">
      <c r="A1" s="1" t="inlineStr">
        <is>
          <t>進捗確認</t>
        </is>
      </c>
    </row>
    <row r="2">
      <c r="A2" s="2" t="inlineStr">
        <is>
          <t>※ 黄色いセルが入力欄です。日々の件数は下の「日別 実績入力」表に入力、売れた対象機種は「機種販売入力」、目標は「目標設定」シートで入力します(それ以外は自動計算)。</t>
        </is>
      </c>
    </row>
    <row r="3">
      <c r="A3" s="3" t="inlineStr">
        <is>
          <t>対象月</t>
        </is>
      </c>
      <c r="B3" s="44">
        <f>目標設定!C3</f>
        <v/>
      </c>
      <c r="C3" s="3" t="inlineStr">
        <is>
          <t>月の日数</t>
        </is>
      </c>
      <c r="D3" s="5">
        <f>目標設定!C4</f>
        <v/>
      </c>
      <c r="E3" s="3" t="inlineStr">
        <is>
          <t>最終入力日</t>
        </is>
      </c>
      <c r="F3" s="45">
        <f>SUMPRODUCT(MAX(A42:A72*O42:O72))</f>
        <v/>
      </c>
      <c r="G3" s="3" t="inlineStr">
        <is>
          <t>経過率</t>
        </is>
      </c>
      <c r="H3" s="7">
        <f>IF(D3&gt;0,F3/D3,0)</f>
        <v/>
      </c>
    </row>
    <row r="4">
      <c r="A4" s="8" t="inlineStr">
        <is>
          <t>▶ 日別 実績入力へ移動(下へスクロール)</t>
        </is>
      </c>
      <c r="E4" s="2">
        <f>IF(機種販売入力!L6&gt;0,"⚠ 機種販売入力に販売日が未入力の行が"&amp;機種販売入力!L6&amp;"行あります。日別・累計に反映されません。","")</f>
        <v/>
      </c>
    </row>
    <row r="5" ht="32" customHeight="1">
      <c r="A5" s="9" t="inlineStr">
        <is>
          <t>項目</t>
        </is>
      </c>
      <c r="B5" s="9" t="inlineStr">
        <is>
          <t>月間目標</t>
        </is>
      </c>
      <c r="C5" s="9" t="inlineStr">
        <is>
          <t>累計実績</t>
        </is>
      </c>
      <c r="D5" s="9" t="inlineStr">
        <is>
          <t>達成率</t>
        </is>
      </c>
      <c r="E5" s="9" t="inlineStr">
        <is>
          <t>残数</t>
        </is>
      </c>
      <c r="F5" s="9" t="inlineStr">
        <is>
          <t>理想ペース
(目標×経過率)</t>
        </is>
      </c>
      <c r="G5" s="9" t="inlineStr">
        <is>
          <t>理想との差</t>
        </is>
      </c>
      <c r="H5" s="9" t="inlineStr">
        <is>
          <t>残り1日あたり
必要件数</t>
        </is>
      </c>
      <c r="I5" s="9" t="inlineStr">
        <is>
          <t>判定</t>
        </is>
      </c>
      <c r="J5" s="9" t="inlineStr">
        <is>
          <t>現在の配点
(ラダー)</t>
        </is>
      </c>
      <c r="K5" s="9" t="inlineStr">
        <is>
          <t>次のラダー
(達成率)</t>
        </is>
      </c>
      <c r="L5" s="9" t="inlineStr">
        <is>
          <t>次のラダーの
配点</t>
        </is>
      </c>
      <c r="M5" s="9" t="inlineStr">
        <is>
          <t>次のラダーまで
あと(件)</t>
        </is>
      </c>
    </row>
    <row r="6">
      <c r="A6" s="5" t="inlineStr">
        <is>
          <t>新規</t>
        </is>
      </c>
      <c r="B6" s="10">
        <f>IF(N(目標設定!$D$7)&gt;0,目標設定!$D$7,"-")</f>
        <v/>
      </c>
      <c r="C6" s="10">
        <f>C73</f>
        <v/>
      </c>
      <c r="D6" s="7">
        <f>IF(ISNUMBER(B6),C6/B6,"-")</f>
        <v/>
      </c>
      <c r="E6" s="10">
        <f>IF(ISNUMBER(B6),MAX(B6-C6,0),"-")</f>
        <v/>
      </c>
      <c r="F6" s="46">
        <f>IF(ISNUMBER(B6),B6*$H$3,"-")</f>
        <v/>
      </c>
      <c r="G6" s="47">
        <f>IF(ISNUMBER(B6),C6-F6,"-")</f>
        <v/>
      </c>
      <c r="H6" s="46">
        <f>IF(ISNUMBER(B6),IF($D$3-$F$3&gt;0,E6/($D$3-$F$3),E6),"-")</f>
        <v/>
      </c>
      <c r="I6" s="13">
        <f>IF(NOT(ISNUMBER(B6)),"目標未設定",IF(C6&gt;=B6,"達成",IF(C6&gt;=F6,"順調","遅れ")))</f>
        <v/>
      </c>
      <c r="J6" s="14">
        <f>IF(ISNUMBER(D6),INDEX(ラダー!$B$5:$B$34,MATCH(SUMPRODUCT(MAX((ラダー!$A$5:$A$34&lt;=ROUND(D6,6))*ラダー!$A$5:$A$34)),ラダー!$A$5:$A$34,0)),"-")</f>
        <v/>
      </c>
      <c r="K6" s="15">
        <f>IF(ISNUMBER(D6),IFERROR(SMALL(ラダー!$A$5:$A$34,COUNTIF(ラダー!$A$5:$A$34,"&lt;="&amp;ROUND(D6,6))+1),"最高段"),"-")</f>
        <v/>
      </c>
      <c r="L6" s="16">
        <f>IF(ISNUMBER(K6),INDEX(ラダー!$B$5:$B$34,MATCH(K6,ラダー!$A$5:$A$34,0)),"-")</f>
        <v/>
      </c>
      <c r="M6" s="10">
        <f>IF(ISNUMBER(K6),ROUNDUP(K6*B6-C6-0.000001,0),"-")</f>
        <v/>
      </c>
    </row>
    <row r="7">
      <c r="A7" s="5" t="inlineStr">
        <is>
          <t>MNP</t>
        </is>
      </c>
      <c r="B7" s="10">
        <f>IF(N(目標設定!$D$8)&gt;0,目標設定!$D$8,"-")</f>
        <v/>
      </c>
      <c r="C7" s="10">
        <f>D73</f>
        <v/>
      </c>
      <c r="D7" s="7">
        <f>IF(ISNUMBER(B7),C7/B7,"-")</f>
        <v/>
      </c>
      <c r="E7" s="10">
        <f>IF(ISNUMBER(B7),MAX(B7-C7,0),"-")</f>
        <v/>
      </c>
      <c r="F7" s="46">
        <f>IF(ISNUMBER(B7),B7*$H$3,"-")</f>
        <v/>
      </c>
      <c r="G7" s="47">
        <f>IF(ISNUMBER(B7),C7-F7,"-")</f>
        <v/>
      </c>
      <c r="H7" s="46">
        <f>IF(ISNUMBER(B7),IF($D$3-$F$3&gt;0,E7/($D$3-$F$3),E7),"-")</f>
        <v/>
      </c>
      <c r="I7" s="13">
        <f>IF(NOT(ISNUMBER(B7)),"目標未設定",IF(C7&gt;=B7,"達成",IF(C7&gt;=F7,"順調","遅れ")))</f>
        <v/>
      </c>
      <c r="J7" s="14">
        <f>IF(ISNUMBER(D7),INDEX(ラダー!$E$5:$E$34,MATCH(SUMPRODUCT(MAX((ラダー!$D$5:$D$34&lt;=ROUND(D7,6))*ラダー!$D$5:$D$34)),ラダー!$D$5:$D$34,0)),"-")</f>
        <v/>
      </c>
      <c r="K7" s="15">
        <f>IF(ISNUMBER(D7),IFERROR(SMALL(ラダー!$D$5:$D$34,COUNTIF(ラダー!$D$5:$D$34,"&lt;="&amp;ROUND(D7,6))+1),"最高段"),"-")</f>
        <v/>
      </c>
      <c r="L7" s="16">
        <f>IF(ISNUMBER(K7),INDEX(ラダー!$E$5:$E$34,MATCH(K7,ラダー!$D$5:$D$34,0)),"-")</f>
        <v/>
      </c>
      <c r="M7" s="10">
        <f>IF(ISNUMBER(K7),ROUNDUP(K7*B7-C7-0.000001,0),"-")</f>
        <v/>
      </c>
    </row>
    <row r="8">
      <c r="A8" s="5" t="inlineStr">
        <is>
          <t>固定</t>
        </is>
      </c>
      <c r="B8" s="10">
        <f>IF(N(目標設定!$D$9)&gt;0,目標設定!$D$9,"-")</f>
        <v/>
      </c>
      <c r="C8" s="10">
        <f>E73</f>
        <v/>
      </c>
      <c r="D8" s="7">
        <f>IF(ISNUMBER(B8),C8/B8,"-")</f>
        <v/>
      </c>
      <c r="E8" s="10">
        <f>IF(ISNUMBER(B8),MAX(B8-C8,0),"-")</f>
        <v/>
      </c>
      <c r="F8" s="46">
        <f>IF(ISNUMBER(B8),B8*$H$3,"-")</f>
        <v/>
      </c>
      <c r="G8" s="47">
        <f>IF(ISNUMBER(B8),C8-F8,"-")</f>
        <v/>
      </c>
      <c r="H8" s="46">
        <f>IF(ISNUMBER(B8),IF($D$3-$F$3&gt;0,E8/($D$3-$F$3),E8),"-")</f>
        <v/>
      </c>
      <c r="I8" s="13">
        <f>IF(NOT(ISNUMBER(B8)),"目標未設定",IF(C8&gt;=B8,"達成",IF(C8&gt;=F8,"順調","遅れ")))</f>
        <v/>
      </c>
      <c r="J8" s="14">
        <f>IF(ISNUMBER(D8),INDEX(ラダー!$K$5:$K$34,MATCH(SUMPRODUCT(MAX((ラダー!$J$5:$J$34&lt;=ROUND(D8,6))*ラダー!$J$5:$J$34)),ラダー!$J$5:$J$34,0)),"-")</f>
        <v/>
      </c>
      <c r="K8" s="15">
        <f>IF(ISNUMBER(D8),IFERROR(SMALL(ラダー!$J$5:$J$34,COUNTIF(ラダー!$J$5:$J$34,"&lt;="&amp;ROUND(D8,6))+1),"最高段"),"-")</f>
        <v/>
      </c>
      <c r="L8" s="16">
        <f>IF(ISNUMBER(K8),INDEX(ラダー!$K$5:$K$34,MATCH(K8,ラダー!$J$5:$J$34,0)),"-")</f>
        <v/>
      </c>
      <c r="M8" s="10">
        <f>IF(ISNUMBER(K8),ROUNDUP(K8*B8-C8-0.000001,0),"-")</f>
        <v/>
      </c>
    </row>
    <row r="9">
      <c r="A9" s="5" t="inlineStr">
        <is>
          <t>タブレット</t>
        </is>
      </c>
      <c r="B9" s="10">
        <f>IF(N(目標設定!$D$10)&gt;0,目標設定!$D$10,"-")</f>
        <v/>
      </c>
      <c r="C9" s="10">
        <f>F73</f>
        <v/>
      </c>
      <c r="D9" s="7">
        <f>IF(ISNUMBER(B9),C9/B9,"-")</f>
        <v/>
      </c>
      <c r="E9" s="10">
        <f>IF(ISNUMBER(B9),MAX(B9-C9,0),"-")</f>
        <v/>
      </c>
      <c r="F9" s="46">
        <f>IF(ISNUMBER(B9),B9*$H$3,"-")</f>
        <v/>
      </c>
      <c r="G9" s="47">
        <f>IF(ISNUMBER(B9),C9-F9,"-")</f>
        <v/>
      </c>
      <c r="H9" s="46">
        <f>IF(ISNUMBER(B9),IF($D$3-$F$3&gt;0,E9/($D$3-$F$3),E9),"-")</f>
        <v/>
      </c>
      <c r="I9" s="13">
        <f>IF(NOT(ISNUMBER(B9)),"目標未設定",IF(C9&gt;=B9,"達成",IF(C9&gt;=F9,"順調","遅れ")))</f>
        <v/>
      </c>
      <c r="J9" s="14">
        <f>IF(ISNUMBER(D9),INDEX(ラダー!$N$5:$N$34,MATCH(SUMPRODUCT(MAX((ラダー!$M$5:$M$34&lt;=ROUND(D9,6))*ラダー!$M$5:$M$34)),ラダー!$M$5:$M$34,0)),"-")</f>
        <v/>
      </c>
      <c r="K9" s="15">
        <f>IF(ISNUMBER(D9),IFERROR(SMALL(ラダー!$M$5:$M$34,COUNTIF(ラダー!$M$5:$M$34,"&lt;="&amp;ROUND(D9,6))+1),"最高段"),"-")</f>
        <v/>
      </c>
      <c r="L9" s="16">
        <f>IF(ISNUMBER(K9),INDEX(ラダー!$N$5:$N$34,MATCH(K9,ラダー!$M$5:$M$34,0)),"-")</f>
        <v/>
      </c>
      <c r="M9" s="10">
        <f>IF(ISNUMBER(K9),ROUNDUP(K9*B9-C9-0.000001,0),"-")</f>
        <v/>
      </c>
    </row>
    <row r="10">
      <c r="A10" s="5" t="inlineStr">
        <is>
          <t>電気</t>
        </is>
      </c>
      <c r="B10" s="10">
        <f>IF(N(目標設定!$D$11)&gt;0,目標設定!$D$11,"-")</f>
        <v/>
      </c>
      <c r="C10" s="10">
        <f>G73</f>
        <v/>
      </c>
      <c r="D10" s="7">
        <f>IF(ISNUMBER(B10),C10/B10,"-")</f>
        <v/>
      </c>
      <c r="E10" s="10">
        <f>IF(ISNUMBER(B10),MAX(B10-C10,0),"-")</f>
        <v/>
      </c>
      <c r="F10" s="46">
        <f>IF(ISNUMBER(B10),B10*$H$3,"-")</f>
        <v/>
      </c>
      <c r="G10" s="47">
        <f>IF(ISNUMBER(B10),C10-F10,"-")</f>
        <v/>
      </c>
      <c r="H10" s="46">
        <f>IF(ISNUMBER(B10),IF($D$3-$F$3&gt;0,E10/($D$3-$F$3),E10),"-")</f>
        <v/>
      </c>
      <c r="I10" s="13">
        <f>IF(NOT(ISNUMBER(B10)),"目標未設定",IF(C10&gt;=B10,"達成",IF(C10&gt;=F10,"順調","遅れ")))</f>
        <v/>
      </c>
      <c r="J10" s="14">
        <f>IF(ISNUMBER(D10),INDEX(ラダー!$Q$5:$Q$34,MATCH(SUMPRODUCT(MAX((ラダー!$P$5:$P$34&lt;=ROUND(D10,6))*ラダー!$P$5:$P$34)),ラダー!$P$5:$P$34,0)),"-")</f>
        <v/>
      </c>
      <c r="K10" s="15">
        <f>IF(ISNUMBER(D10),IFERROR(SMALL(ラダー!$P$5:$P$34,COUNTIF(ラダー!$P$5:$P$34,"&lt;="&amp;ROUND(D10,6))+1),"最高段"),"-")</f>
        <v/>
      </c>
      <c r="L10" s="16">
        <f>IF(ISNUMBER(K10),INDEX(ラダー!$Q$5:$Q$34,MATCH(K10,ラダー!$P$5:$P$34,0)),"-")</f>
        <v/>
      </c>
      <c r="M10" s="10">
        <f>IF(ISNUMBER(K10),ROUNDUP(K10*B10-C10-0.000001,0),"-")</f>
        <v/>
      </c>
    </row>
    <row r="11">
      <c r="A11" s="5" t="inlineStr">
        <is>
          <t>PPCD申込</t>
        </is>
      </c>
      <c r="B11" s="10" t="inlineStr">
        <is>
          <t>-</t>
        </is>
      </c>
      <c r="C11" s="10">
        <f>H73</f>
        <v/>
      </c>
      <c r="D11" s="7">
        <f>IF(ISNUMBER(目標設定!$F$12),目標設定!$F$12,"-")</f>
        <v/>
      </c>
      <c r="E11" s="10" t="inlineStr">
        <is>
          <t>-</t>
        </is>
      </c>
      <c r="F11" s="46" t="inlineStr">
        <is>
          <t>-</t>
        </is>
      </c>
      <c r="G11" s="47" t="inlineStr">
        <is>
          <t>-</t>
        </is>
      </c>
      <c r="H11" s="46" t="inlineStr">
        <is>
          <t>-</t>
        </is>
      </c>
      <c r="I11" s="13">
        <f>IF(ISNUMBER(D11),"手入力率","率未入力")</f>
        <v/>
      </c>
      <c r="J11" s="14">
        <f>IF(ISNUMBER(D11),INDEX(ラダー!$T$5:$T$34,MATCH(SUMPRODUCT(MAX((ラダー!$S$5:$S$34&lt;=ROUND(D11,6))*ラダー!$S$5:$S$34)),ラダー!$S$5:$S$34,0)),"-")</f>
        <v/>
      </c>
      <c r="K11" s="15">
        <f>IF(ISNUMBER(D11),IFERROR(SMALL(ラダー!$S$5:$S$34,COUNTIF(ラダー!$S$5:$S$34,"&lt;="&amp;ROUND(D11,6))+1),"最高段"),"-")</f>
        <v/>
      </c>
      <c r="L11" s="16">
        <f>IF(ISNUMBER(K11),INDEX(ラダー!$T$5:$T$34,MATCH(K11,ラダー!$S$5:$S$34,0)),"-")</f>
        <v/>
      </c>
      <c r="M11" s="10" t="inlineStr">
        <is>
          <t>-</t>
        </is>
      </c>
    </row>
    <row r="12">
      <c r="A12" s="5" t="inlineStr">
        <is>
          <t>SB Gold申込</t>
        </is>
      </c>
      <c r="B12" s="10" t="inlineStr">
        <is>
          <t>-</t>
        </is>
      </c>
      <c r="C12" s="10">
        <f>I73</f>
        <v/>
      </c>
      <c r="D12" s="7">
        <f>IF(ISNUMBER(目標設定!$F$13),目標設定!$F$13,"-")</f>
        <v/>
      </c>
      <c r="E12" s="10" t="inlineStr">
        <is>
          <t>-</t>
        </is>
      </c>
      <c r="F12" s="46" t="inlineStr">
        <is>
          <t>-</t>
        </is>
      </c>
      <c r="G12" s="47" t="inlineStr">
        <is>
          <t>-</t>
        </is>
      </c>
      <c r="H12" s="46" t="inlineStr">
        <is>
          <t>-</t>
        </is>
      </c>
      <c r="I12" s="13">
        <f>IF(ISNUMBER(D12),"手入力率","率未入力")</f>
        <v/>
      </c>
      <c r="J12" s="14">
        <f>IF(ISNUMBER(D12),INDEX(ラダー!$W$5:$W$34,MATCH(SUMPRODUCT(MAX((ラダー!$V$5:$V$34&lt;=ROUND(D12,6))*ラダー!$V$5:$V$34)),ラダー!$V$5:$V$34,0)),"-")</f>
        <v/>
      </c>
      <c r="K12" s="15">
        <f>IF(ISNUMBER(D12),IFERROR(SMALL(ラダー!$V$5:$V$34,COUNTIF(ラダー!$V$5:$V$34,"&lt;="&amp;ROUND(D12,6))+1),"最高段"),"-")</f>
        <v/>
      </c>
      <c r="L12" s="16">
        <f>IF(ISNUMBER(K12),INDEX(ラダー!$W$5:$W$34,MATCH(K12,ラダー!$V$5:$V$34,0)),"-")</f>
        <v/>
      </c>
      <c r="M12" s="10" t="inlineStr">
        <is>
          <t>-</t>
        </is>
      </c>
    </row>
    <row r="13">
      <c r="A13" s="5" t="inlineStr">
        <is>
          <t>戦略機種(Pt)</t>
        </is>
      </c>
      <c r="B13" s="10">
        <f>IF(N(目標設定!$D$14)&gt;0,目標設定!$D$14,"-")</f>
        <v/>
      </c>
      <c r="C13" s="10">
        <f>J73</f>
        <v/>
      </c>
      <c r="D13" s="7">
        <f>IF(ISNUMBER(B13),C13/B13,"-")</f>
        <v/>
      </c>
      <c r="E13" s="10">
        <f>IF(ISNUMBER(B13),MAX(B13-C13,0),"-")</f>
        <v/>
      </c>
      <c r="F13" s="46">
        <f>IF(ISNUMBER(B13),B13*$H$3,"-")</f>
        <v/>
      </c>
      <c r="G13" s="47">
        <f>IF(ISNUMBER(B13),C13-F13,"-")</f>
        <v/>
      </c>
      <c r="H13" s="46">
        <f>IF(ISNUMBER(B13),IF($D$3-$F$3&gt;0,E13/($D$3-$F$3),E13),"-")</f>
        <v/>
      </c>
      <c r="I13" s="13">
        <f>IF(NOT(ISNUMBER(B13)),"目標未設定",IF(C13&gt;=B13,"達成",IF(C13&gt;=F13,"順調","遅れ")))</f>
        <v/>
      </c>
      <c r="J13" s="14">
        <f>IF(ISNUMBER(D13),INDEX(ラダー!$Z$5:$Z$34,MATCH(SUMPRODUCT(MAX((ラダー!$Y$5:$Y$34&lt;=ROUND(D13,6))*ラダー!$Y$5:$Y$34)),ラダー!$Y$5:$Y$34,0)),"-")</f>
        <v/>
      </c>
      <c r="K13" s="15">
        <f>IF(ISNUMBER(D13),IFERROR(SMALL(ラダー!$Y$5:$Y$34,COUNTIF(ラダー!$Y$5:$Y$34,"&lt;="&amp;ROUND(D13,6))+1),"最高段"),"-")</f>
        <v/>
      </c>
      <c r="L13" s="16">
        <f>IF(ISNUMBER(K13),INDEX(ラダー!$Z$5:$Z$34,MATCH(K13,ラダー!$Y$5:$Y$34,0)),"-")</f>
        <v/>
      </c>
      <c r="M13" s="10">
        <f>IF(ISNUMBER(K13),ROUNDUP(K13*B13-C13-0.000001,0),"-")</f>
        <v/>
      </c>
    </row>
    <row r="14">
      <c r="A14" s="5" t="inlineStr">
        <is>
          <t>Watch</t>
        </is>
      </c>
      <c r="B14" s="10">
        <f>IF(N(目標設定!$D$15)&gt;0,目標設定!$D$15,"-")</f>
        <v/>
      </c>
      <c r="C14" s="10">
        <f>K73</f>
        <v/>
      </c>
      <c r="D14" s="7">
        <f>IF(ISNUMBER(B14),C14/B14,"-")</f>
        <v/>
      </c>
      <c r="E14" s="10">
        <f>IF(ISNUMBER(B14),MAX(B14-C14,0),"-")</f>
        <v/>
      </c>
      <c r="F14" s="46">
        <f>IF(ISNUMBER(B14),B14*$H$3,"-")</f>
        <v/>
      </c>
      <c r="G14" s="47">
        <f>IF(ISNUMBER(B14),C14-F14,"-")</f>
        <v/>
      </c>
      <c r="H14" s="46">
        <f>IF(ISNUMBER(B14),IF($D$3-$F$3&gt;0,E14/($D$3-$F$3),E14),"-")</f>
        <v/>
      </c>
      <c r="I14" s="13">
        <f>IF(NOT(ISNUMBER(B14)),"目標未設定",IF(C14&gt;=B14,"達成",IF(C14&gt;=F14,"順調","遅れ")))</f>
        <v/>
      </c>
      <c r="J14" s="14">
        <f>IF(ISNUMBER(D14),INDEX(ラダー!$AC$5:$AC$34,MATCH(SUMPRODUCT(MAX((ラダー!$AB$5:$AB$34&lt;=ROUND(D14,6))*ラダー!$AB$5:$AB$34)),ラダー!$AB$5:$AB$34,0)),"-")</f>
        <v/>
      </c>
      <c r="K14" s="15">
        <f>IF(ISNUMBER(D14),IFERROR(SMALL(ラダー!$AB$5:$AB$34,COUNTIF(ラダー!$AB$5:$AB$34,"&lt;="&amp;ROUND(D14,6))+1),"最高段"),"-")</f>
        <v/>
      </c>
      <c r="L14" s="16">
        <f>IF(ISNUMBER(K14),INDEX(ラダー!$AC$5:$AC$34,MATCH(K14,ラダー!$AB$5:$AB$34,0)),"-")</f>
        <v/>
      </c>
      <c r="M14" s="10">
        <f>IF(ISNUMBER(K14),ROUNDUP(K14*B14-C14-0.000001,0),"-")</f>
        <v/>
      </c>
    </row>
    <row r="15">
      <c r="A15" s="5" t="inlineStr">
        <is>
          <t>機変</t>
        </is>
      </c>
      <c r="B15" s="10">
        <f>IF(N(目標設定!$D$16)&gt;0,目標設定!$D$16,"-")</f>
        <v/>
      </c>
      <c r="C15" s="10">
        <f>L73</f>
        <v/>
      </c>
      <c r="D15" s="7">
        <f>IF(ISNUMBER(B15),C15/B15,"-")</f>
        <v/>
      </c>
      <c r="E15" s="10">
        <f>IF(ISNUMBER(B15),MAX(B15-C15,0),"-")</f>
        <v/>
      </c>
      <c r="F15" s="46">
        <f>IF(ISNUMBER(B15),B15*$H$3,"-")</f>
        <v/>
      </c>
      <c r="G15" s="47">
        <f>IF(ISNUMBER(B15),C15-F15,"-")</f>
        <v/>
      </c>
      <c r="H15" s="46">
        <f>IF(ISNUMBER(B15),IF($D$3-$F$3&gt;0,E15/($D$3-$F$3),E15),"-")</f>
        <v/>
      </c>
      <c r="I15" s="13">
        <f>IF(NOT(ISNUMBER(B15)),"目標未設定",IF(C15&gt;=B15,"達成",IF(C15&gt;=F15,"順調","遅れ")))</f>
        <v/>
      </c>
      <c r="J15" s="14">
        <f>IF(ISNUMBER(D15),INDEX(ラダー!$H$5:$H$34,MATCH(SUMPRODUCT(MAX((ラダー!$G$5:$G$34&lt;=ROUND(D15,6))*ラダー!$G$5:$G$34)),ラダー!$G$5:$G$34,0)),"-")</f>
        <v/>
      </c>
      <c r="K15" s="15">
        <f>IF(ISNUMBER(D15),IFERROR(SMALL(ラダー!$G$5:$G$34,COUNTIF(ラダー!$G$5:$G$34,"&lt;="&amp;ROUND(D15,6))+1),"最高段"),"-")</f>
        <v/>
      </c>
      <c r="L15" s="16">
        <f>IF(ISNUMBER(K15),INDEX(ラダー!$H$5:$H$34,MATCH(K15,ラダー!$G$5:$G$34,0)),"-")</f>
        <v/>
      </c>
      <c r="M15" s="10">
        <f>IF(ISNUMBER(K15),ROUNDUP(K15*B15-C15-0.000001,0),"-")</f>
        <v/>
      </c>
    </row>
    <row r="16">
      <c r="A16" s="5" t="inlineStr">
        <is>
          <t>DMM</t>
        </is>
      </c>
      <c r="B16" s="10">
        <f>IF(N(目標設定!$D$17)&gt;0,目標設定!$D$17,"-")</f>
        <v/>
      </c>
      <c r="C16" s="10">
        <f>M73</f>
        <v/>
      </c>
      <c r="D16" s="7">
        <f>IF(ISNUMBER(B16),C16/B16,"-")</f>
        <v/>
      </c>
      <c r="E16" s="10">
        <f>IF(ISNUMBER(B16),MAX(B16-C16,0),"-")</f>
        <v/>
      </c>
      <c r="F16" s="46">
        <f>IF(ISNUMBER(B16),B16*$H$3,"-")</f>
        <v/>
      </c>
      <c r="G16" s="47">
        <f>IF(ISNUMBER(B16),C16-F16,"-")</f>
        <v/>
      </c>
      <c r="H16" s="46">
        <f>IF(ISNUMBER(B16),IF($D$3-$F$3&gt;0,E16/($D$3-$F$3),E16),"-")</f>
        <v/>
      </c>
      <c r="I16" s="13">
        <f>IF(NOT(ISNUMBER(B16)),"目標未設定",IF(C16&gt;=B16,"達成",IF(C16&gt;=F16,"順調","遅れ")))</f>
        <v/>
      </c>
      <c r="J16" s="14" t="inlineStr">
        <is>
          <t>ラダーなし</t>
        </is>
      </c>
      <c r="K16" s="15" t="inlineStr">
        <is>
          <t>-</t>
        </is>
      </c>
      <c r="L16" s="16" t="inlineStr">
        <is>
          <t>-</t>
        </is>
      </c>
      <c r="M16" s="10" t="inlineStr">
        <is>
          <t>-</t>
        </is>
      </c>
    </row>
    <row r="17">
      <c r="A17" s="5" t="inlineStr">
        <is>
          <t>YouTube</t>
        </is>
      </c>
      <c r="B17" s="10">
        <f>IF(N(目標設定!$D$18)&gt;0,目標設定!$D$18,"-")</f>
        <v/>
      </c>
      <c r="C17" s="10">
        <f>N73</f>
        <v/>
      </c>
      <c r="D17" s="7">
        <f>IF(ISNUMBER(B17),C17/B17,"-")</f>
        <v/>
      </c>
      <c r="E17" s="10">
        <f>IF(ISNUMBER(B17),MAX(B17-C17,0),"-")</f>
        <v/>
      </c>
      <c r="F17" s="46">
        <f>IF(ISNUMBER(B17),B17*$H$3,"-")</f>
        <v/>
      </c>
      <c r="G17" s="47">
        <f>IF(ISNUMBER(B17),C17-F17,"-")</f>
        <v/>
      </c>
      <c r="H17" s="46">
        <f>IF(ISNUMBER(B17),IF($D$3-$F$3&gt;0,E17/($D$3-$F$3),E17),"-")</f>
        <v/>
      </c>
      <c r="I17" s="13">
        <f>IF(NOT(ISNUMBER(B17)),"目標未設定",IF(C17&gt;=B17,"達成",IF(C17&gt;=F17,"順調","遅れ")))</f>
        <v/>
      </c>
      <c r="J17" s="14" t="inlineStr">
        <is>
          <t>ラダーなし</t>
        </is>
      </c>
      <c r="K17" s="15" t="inlineStr">
        <is>
          <t>-</t>
        </is>
      </c>
      <c r="L17" s="16" t="inlineStr">
        <is>
          <t>-</t>
        </is>
      </c>
      <c r="M17" s="10" t="inlineStr">
        <is>
          <t>-</t>
        </is>
      </c>
    </row>
    <row r="18">
      <c r="A18" s="5" t="inlineStr">
        <is>
          <t>SBプラン(ペイトク)</t>
        </is>
      </c>
      <c r="B18" s="10">
        <f>IF(N(目標設定!$D$19)&gt;0,目標設定!$D$19,"-")</f>
        <v/>
      </c>
      <c r="C18" s="10">
        <f>N(目標設定!$F$19)</f>
        <v/>
      </c>
      <c r="D18" s="7">
        <f>IF(ISNUMBER(B18),C18/B18,"-")</f>
        <v/>
      </c>
      <c r="E18" s="10">
        <f>IF(ISNUMBER(B18),MAX(B18-C18,0),"-")</f>
        <v/>
      </c>
      <c r="F18" s="46">
        <f>IF(ISNUMBER(B18),B18*$H$3,"-")</f>
        <v/>
      </c>
      <c r="G18" s="47">
        <f>IF(ISNUMBER(B18),C18-F18,"-")</f>
        <v/>
      </c>
      <c r="H18" s="46">
        <f>IF(ISNUMBER(B18),IF($D$3-$F$3&gt;0,E18/($D$3-$F$3),E18),"-")</f>
        <v/>
      </c>
      <c r="I18" s="13">
        <f>IF(NOT(ISNUMBER(B18)),"目標未設定",IF(C18&gt;=B18,"達成",IF(C18&gt;=F18,"順調","遅れ")))</f>
        <v/>
      </c>
      <c r="J18" s="14" t="inlineStr">
        <is>
          <t>ラダーなし</t>
        </is>
      </c>
      <c r="K18" s="15" t="inlineStr">
        <is>
          <t>-</t>
        </is>
      </c>
      <c r="L18" s="16" t="inlineStr">
        <is>
          <t>-</t>
        </is>
      </c>
      <c r="M18" s="10" t="inlineStr">
        <is>
          <t>-</t>
        </is>
      </c>
    </row>
    <row r="19">
      <c r="A19" s="5" t="inlineStr">
        <is>
          <t>SBプラン(大容量)</t>
        </is>
      </c>
      <c r="B19" s="10">
        <f>IF(N(目標設定!$D$20)&gt;0,目標設定!$D$20,"-")</f>
        <v/>
      </c>
      <c r="C19" s="10">
        <f>N(目標設定!$F$20)</f>
        <v/>
      </c>
      <c r="D19" s="7">
        <f>IF(ISNUMBER(B19),C19/B19,"-")</f>
        <v/>
      </c>
      <c r="E19" s="10">
        <f>IF(ISNUMBER(B19),MAX(B19-C19,0),"-")</f>
        <v/>
      </c>
      <c r="F19" s="46">
        <f>IF(ISNUMBER(B19),B19*$H$3,"-")</f>
        <v/>
      </c>
      <c r="G19" s="47">
        <f>IF(ISNUMBER(B19),C19-F19,"-")</f>
        <v/>
      </c>
      <c r="H19" s="46">
        <f>IF(ISNUMBER(B19),IF($D$3-$F$3&gt;0,E19/($D$3-$F$3),E19),"-")</f>
        <v/>
      </c>
      <c r="I19" s="13">
        <f>IF(NOT(ISNUMBER(B19)),"目標未設定",IF(C19&gt;=B19,"達成",IF(C19&gt;=F19,"順調","遅れ")))</f>
        <v/>
      </c>
      <c r="J19" s="14" t="inlineStr">
        <is>
          <t>ラダーなし</t>
        </is>
      </c>
      <c r="K19" s="15" t="inlineStr">
        <is>
          <t>-</t>
        </is>
      </c>
      <c r="L19" s="16" t="inlineStr">
        <is>
          <t>-</t>
        </is>
      </c>
      <c r="M19" s="10" t="inlineStr">
        <is>
          <t>-</t>
        </is>
      </c>
    </row>
    <row r="20">
      <c r="A20" s="5" t="inlineStr">
        <is>
          <t>SB通話OP</t>
        </is>
      </c>
      <c r="B20" s="10">
        <f>IF(N(目標設定!$D$21)&gt;0,目標設定!$D$21,"-")</f>
        <v/>
      </c>
      <c r="C20" s="10">
        <f>N(目標設定!$F$21)</f>
        <v/>
      </c>
      <c r="D20" s="7">
        <f>IF(ISNUMBER(B20),C20/B20,"-")</f>
        <v/>
      </c>
      <c r="E20" s="10">
        <f>IF(ISNUMBER(B20),MAX(B20-C20,0),"-")</f>
        <v/>
      </c>
      <c r="F20" s="46">
        <f>IF(ISNUMBER(B20),B20*$H$3,"-")</f>
        <v/>
      </c>
      <c r="G20" s="47">
        <f>IF(ISNUMBER(B20),C20-F20,"-")</f>
        <v/>
      </c>
      <c r="H20" s="46">
        <f>IF(ISNUMBER(B20),IF($D$3-$F$3&gt;0,E20/($D$3-$F$3),E20),"-")</f>
        <v/>
      </c>
      <c r="I20" s="13">
        <f>IF(NOT(ISNUMBER(B20)),"目標未設定",IF(C20&gt;=B20,"達成",IF(C20&gt;=F20,"順調","遅れ")))</f>
        <v/>
      </c>
      <c r="J20" s="14">
        <f>IF(ISNUMBER(D20),INDEX(ラダー!$AG$5:$AG$34,MATCH(SUMPRODUCT(MAX((ラダー!$AF$5:$AF$34&lt;=ROUND(D20,6))*ラダー!$AF$5:$AF$34)),ラダー!$AF$5:$AF$34,0)),"-")</f>
        <v/>
      </c>
      <c r="K20" s="15">
        <f>IF(ISNUMBER(D20),IFERROR(SMALL(ラダー!$AF$5:$AF$34,COUNTIF(ラダー!$AF$5:$AF$34,"&lt;="&amp;ROUND(D20,6))+1),"最高段"),"-")</f>
        <v/>
      </c>
      <c r="L20" s="16">
        <f>IF(ISNUMBER(K20),INDEX(ラダー!$AG$5:$AG$34,MATCH(K20,ラダー!$AF$5:$AF$34,0)),"-")</f>
        <v/>
      </c>
      <c r="M20" s="10">
        <f>IF(ISNUMBER(K20),ROUNDUP(K20*B20-C20-0.000001,0),"-")</f>
        <v/>
      </c>
    </row>
    <row r="21">
      <c r="A21" s="5" t="inlineStr">
        <is>
          <t>SB保証</t>
        </is>
      </c>
      <c r="B21" s="10">
        <f>IF(N(目標設定!$D$22)&gt;0,目標設定!$D$22,"-")</f>
        <v/>
      </c>
      <c r="C21" s="10">
        <f>N(目標設定!$F$22)</f>
        <v/>
      </c>
      <c r="D21" s="7">
        <f>IF(ISNUMBER(B21),C21/B21,"-")</f>
        <v/>
      </c>
      <c r="E21" s="10">
        <f>IF(ISNUMBER(B21),MAX(B21-C21,0),"-")</f>
        <v/>
      </c>
      <c r="F21" s="46">
        <f>IF(ISNUMBER(B21),B21*$H$3,"-")</f>
        <v/>
      </c>
      <c r="G21" s="47">
        <f>IF(ISNUMBER(B21),C21-F21,"-")</f>
        <v/>
      </c>
      <c r="H21" s="46">
        <f>IF(ISNUMBER(B21),IF($D$3-$F$3&gt;0,E21/($D$3-$F$3),E21),"-")</f>
        <v/>
      </c>
      <c r="I21" s="13">
        <f>IF(NOT(ISNUMBER(B21)),"目標未設定",IF(C21&gt;=B21,"達成",IF(C21&gt;=F21,"順調","遅れ")))</f>
        <v/>
      </c>
      <c r="J21" s="14">
        <f>IF(ISNUMBER(D21),INDEX(ラダー!$AJ$5:$AJ$34,MATCH(SUMPRODUCT(MAX((ラダー!$AI$5:$AI$34&lt;=ROUND(D21,6))*ラダー!$AI$5:$AI$34)),ラダー!$AI$5:$AI$34,0)),"-")</f>
        <v/>
      </c>
      <c r="K21" s="15">
        <f>IF(ISNUMBER(D21),IFERROR(SMALL(ラダー!$AI$5:$AI$34,COUNTIF(ラダー!$AI$5:$AI$34,"&lt;="&amp;ROUND(D21,6))+1),"最高段"),"-")</f>
        <v/>
      </c>
      <c r="L21" s="16">
        <f>IF(ISNUMBER(K21),INDEX(ラダー!$AJ$5:$AJ$34,MATCH(K21,ラダー!$AI$5:$AI$34,0)),"-")</f>
        <v/>
      </c>
      <c r="M21" s="10">
        <f>IF(ISNUMBER(K21),ROUNDUP(K21*B21-C21-0.000001,0),"-")</f>
        <v/>
      </c>
    </row>
    <row r="22">
      <c r="A22" s="5" t="inlineStr">
        <is>
          <t>SBセキュリティ</t>
        </is>
      </c>
      <c r="B22" s="10">
        <f>IF(N(目標設定!$D$23)&gt;0,目標設定!$D$23,"-")</f>
        <v/>
      </c>
      <c r="C22" s="10">
        <f>N(目標設定!$F$23)</f>
        <v/>
      </c>
      <c r="D22" s="7">
        <f>IF(ISNUMBER(B22),C22/B22,"-")</f>
        <v/>
      </c>
      <c r="E22" s="10">
        <f>IF(ISNUMBER(B22),MAX(B22-C22,0),"-")</f>
        <v/>
      </c>
      <c r="F22" s="46">
        <f>IF(ISNUMBER(B22),B22*$H$3,"-")</f>
        <v/>
      </c>
      <c r="G22" s="47">
        <f>IF(ISNUMBER(B22),C22-F22,"-")</f>
        <v/>
      </c>
      <c r="H22" s="46">
        <f>IF(ISNUMBER(B22),IF($D$3-$F$3&gt;0,E22/($D$3-$F$3),E22),"-")</f>
        <v/>
      </c>
      <c r="I22" s="13">
        <f>IF(NOT(ISNUMBER(B22)),"目標未設定",IF(C22&gt;=B22,"達成",IF(C22&gt;=F22,"順調","遅れ")))</f>
        <v/>
      </c>
      <c r="J22" s="14">
        <f>IF(ISNUMBER(D22),INDEX(ラダー!$AM$5:$AM$34,MATCH(SUMPRODUCT(MAX((ラダー!$AL$5:$AL$34&lt;=ROUND(D22,6))*ラダー!$AL$5:$AL$34)),ラダー!$AL$5:$AL$34,0)),"-")</f>
        <v/>
      </c>
      <c r="K22" s="15">
        <f>IF(ISNUMBER(D22),IFERROR(SMALL(ラダー!$AL$5:$AL$34,COUNTIF(ラダー!$AL$5:$AL$34,"&lt;="&amp;ROUND(D22,6))+1),"最高段"),"-")</f>
        <v/>
      </c>
      <c r="L22" s="16">
        <f>IF(ISNUMBER(K22),INDEX(ラダー!$AM$5:$AM$34,MATCH(K22,ラダー!$AL$5:$AL$34,0)),"-")</f>
        <v/>
      </c>
      <c r="M22" s="10">
        <f>IF(ISNUMBER(K22),ROUNDUP(K22*B22-C22-0.000001,0),"-")</f>
        <v/>
      </c>
    </row>
    <row r="23">
      <c r="A23" s="5" t="inlineStr">
        <is>
          <t>SB店スマ</t>
        </is>
      </c>
      <c r="B23" s="10">
        <f>IF(N(目標設定!$D$24)&gt;0,目標設定!$D$24,"-")</f>
        <v/>
      </c>
      <c r="C23" s="10">
        <f>N(目標設定!$F$24)</f>
        <v/>
      </c>
      <c r="D23" s="7">
        <f>IF(ISNUMBER(B23),C23/B23,"-")</f>
        <v/>
      </c>
      <c r="E23" s="10">
        <f>IF(ISNUMBER(B23),MAX(B23-C23,0),"-")</f>
        <v/>
      </c>
      <c r="F23" s="46">
        <f>IF(ISNUMBER(B23),B23*$H$3,"-")</f>
        <v/>
      </c>
      <c r="G23" s="47">
        <f>IF(ISNUMBER(B23),C23-F23,"-")</f>
        <v/>
      </c>
      <c r="H23" s="46">
        <f>IF(ISNUMBER(B23),IF($D$3-$F$3&gt;0,E23/($D$3-$F$3),E23),"-")</f>
        <v/>
      </c>
      <c r="I23" s="13">
        <f>IF(NOT(ISNUMBER(B23)),"目標未設定",IF(C23&gt;=B23,"達成",IF(C23&gt;=F23,"順調","遅れ")))</f>
        <v/>
      </c>
      <c r="J23" s="14" t="inlineStr">
        <is>
          <t>ラダーなし</t>
        </is>
      </c>
      <c r="K23" s="15" t="inlineStr">
        <is>
          <t>-</t>
        </is>
      </c>
      <c r="L23" s="16" t="inlineStr">
        <is>
          <t>-</t>
        </is>
      </c>
      <c r="M23" s="10" t="inlineStr">
        <is>
          <t>-</t>
        </is>
      </c>
    </row>
    <row r="24">
      <c r="A24" s="5" t="inlineStr">
        <is>
          <t>SB支払設定</t>
        </is>
      </c>
      <c r="B24" s="10">
        <f>IF(N(目標設定!$D$25)&gt;0,目標設定!$D$25,"-")</f>
        <v/>
      </c>
      <c r="C24" s="10">
        <f>N(目標設定!$F$25)</f>
        <v/>
      </c>
      <c r="D24" s="7">
        <f>IF(ISNUMBER(B24),C24/B24,"-")</f>
        <v/>
      </c>
      <c r="E24" s="10">
        <f>IF(ISNUMBER(B24),MAX(B24-C24,0),"-")</f>
        <v/>
      </c>
      <c r="F24" s="46">
        <f>IF(ISNUMBER(B24),B24*$H$3,"-")</f>
        <v/>
      </c>
      <c r="G24" s="47">
        <f>IF(ISNUMBER(B24),C24-F24,"-")</f>
        <v/>
      </c>
      <c r="H24" s="46">
        <f>IF(ISNUMBER(B24),IF($D$3-$F$3&gt;0,E24/($D$3-$F$3),E24),"-")</f>
        <v/>
      </c>
      <c r="I24" s="13">
        <f>IF(NOT(ISNUMBER(B24)),"目標未設定",IF(C24&gt;=B24,"達成",IF(C24&gt;=F24,"順調","遅れ")))</f>
        <v/>
      </c>
      <c r="J24" s="14">
        <f>IF(ISNUMBER(D24),INDEX(ラダー!$AS$5:$AS$34,MATCH(SUMPRODUCT(MAX((ラダー!$AR$5:$AR$34&lt;=ROUND(D24,6))*ラダー!$AR$5:$AR$34)),ラダー!$AR$5:$AR$34,0)),"-")</f>
        <v/>
      </c>
      <c r="K24" s="15">
        <f>IF(ISNUMBER(D24),IFERROR(SMALL(ラダー!$AR$5:$AR$34,COUNTIF(ラダー!$AR$5:$AR$34,"&lt;="&amp;ROUND(D24,6))+1),"最高段"),"-")</f>
        <v/>
      </c>
      <c r="L24" s="16">
        <f>IF(ISNUMBER(K24),INDEX(ラダー!$AS$5:$AS$34,MATCH(K24,ラダー!$AR$5:$AR$34,0)),"-")</f>
        <v/>
      </c>
      <c r="M24" s="10">
        <f>IF(ISNUMBER(K24),ROUNDUP(K24*B24-C24-0.000001,0),"-")</f>
        <v/>
      </c>
    </row>
    <row r="25">
      <c r="A25" s="17" t="inlineStr">
        <is>
          <t>合計(目標設定済み項目)</t>
        </is>
      </c>
      <c r="B25" s="18">
        <f>SUMIF(目標設定!$D$7:$D$25,"&gt;0")</f>
        <v/>
      </c>
      <c r="C25" s="18">
        <f>SUMIF($B6:$B24,"&gt;0",$C6:$C24)</f>
        <v/>
      </c>
      <c r="D25" s="19">
        <f>IF(B25&gt;0,C25/B25,"-")</f>
        <v/>
      </c>
      <c r="E25" s="18">
        <f>MAX(B25-C25,0)</f>
        <v/>
      </c>
      <c r="F25" s="48">
        <f>B25*$H$3</f>
        <v/>
      </c>
      <c r="G25" s="49">
        <f>C25-F25</f>
        <v/>
      </c>
      <c r="H25" s="48">
        <f>IF($D$3-$F$3&gt;0,E25/($D$3-$F$3),E25)</f>
        <v/>
      </c>
      <c r="I25" s="17">
        <f>IF(B25=0,"-",IF(C25&gt;=B25,"達成",IF(C25&gt;=F25,"順調","遅れ")))</f>
        <v/>
      </c>
      <c r="J25" s="17">
        <f>SUM(J6:J24)</f>
        <v/>
      </c>
      <c r="K25" s="17" t="n"/>
      <c r="L25" s="17" t="n"/>
      <c r="M25" s="17" t="n"/>
    </row>
    <row r="26">
      <c r="A26" s="22" t="inlineStr">
        <is>
          <t>※ 達成率=累計実績÷月間目標 / 残数=目標−実績 / 判定:実績≧目標→達成、実績≧理想ペース→順調、それ以外→遅れ</t>
        </is>
      </c>
    </row>
    <row r="27">
      <c r="A27" s="22" t="inlineStr">
        <is>
          <t>※ 配点は「ラダー」シートの表から、現在の達成率に対応する点数を表示します(合計点は上表の項目の合計で、店舗全体の点数ではありません)。「あと」は件数ですが、戦略機種(Pt)のみPtです。PPCD申込・SB Goldは「目標設定」に入力した申込率で判定します。No.13〜19(SBプラン〜SB支払設定)は日別入力がなく、「目標設定」シートの目標(D列)と実績(F列)を手入力した数値で計算します(SBプラン・SB店スマはラダーなし)。</t>
        </is>
      </c>
    </row>
    <row r="28">
      <c r="A28" s="23" t="inlineStr">
        <is>
          <t>■ 戦略機種 点数(現時点)</t>
        </is>
      </c>
    </row>
    <row r="29">
      <c r="A29" s="3" t="inlineStr">
        <is>
          <t>現在の戦略Pt(点数)</t>
        </is>
      </c>
      <c r="B29" s="24">
        <f>C13</f>
        <v/>
      </c>
    </row>
    <row r="30">
      <c r="A30" s="3" t="inlineStr">
        <is>
          <t>戦略対象機種の販売台数</t>
        </is>
      </c>
      <c r="B30" s="25">
        <f>機種販売入力!L4</f>
        <v/>
      </c>
    </row>
    <row r="31">
      <c r="A31" s="3" t="inlineStr">
        <is>
          <t>最終入力日の加算Pt</t>
        </is>
      </c>
      <c r="B31" s="25">
        <f>IF($F$3&gt;0,INDEX(J42:J72,$F$3),0)</f>
        <v/>
      </c>
    </row>
    <row r="32">
      <c r="A32" s="3" t="inlineStr">
        <is>
          <t>戦略Pt目標</t>
        </is>
      </c>
      <c r="B32" s="25">
        <f>B13</f>
        <v/>
      </c>
    </row>
    <row r="33">
      <c r="A33" s="3" t="inlineStr">
        <is>
          <t>点数達成率(Pt÷目標)</t>
        </is>
      </c>
      <c r="B33" s="26">
        <f>D13</f>
        <v/>
      </c>
    </row>
    <row r="34">
      <c r="A34" s="3" t="inlineStr">
        <is>
          <t>残りPt</t>
        </is>
      </c>
      <c r="B34" s="25">
        <f>E13</f>
        <v/>
      </c>
    </row>
    <row r="35">
      <c r="A35" s="3" t="inlineStr">
        <is>
          <t>販売日 未入力の行数</t>
        </is>
      </c>
      <c r="B35" s="27">
        <f>機種販売入力!L6</f>
        <v/>
      </c>
    </row>
    <row r="36">
      <c r="A36" s="22" t="inlineStr">
        <is>
          <t>※ 点数は「機種販売入力」で選んだ機種の(機種Pt+戦略Pt)×台数の合計です(機種ごとの内訳は「機種マスタ」)。</t>
        </is>
      </c>
    </row>
    <row r="37"/>
    <row r="38"/>
    <row r="39"/>
    <row r="40">
      <c r="A40" s="23" t="inlineStr">
        <is>
          <t>■ 日別 実績入力(その日の件数を黄色いセルに入力・累計は自動計算)</t>
        </is>
      </c>
    </row>
    <row r="41" ht="30" customHeight="1">
      <c r="A41" s="9" t="inlineStr">
        <is>
          <t>日</t>
        </is>
      </c>
      <c r="B41" s="9" t="inlineStr">
        <is>
          <t>日付</t>
        </is>
      </c>
      <c r="C41" s="9" t="inlineStr">
        <is>
          <t>新規</t>
        </is>
      </c>
      <c r="D41" s="9" t="inlineStr">
        <is>
          <t>MNP</t>
        </is>
      </c>
      <c r="E41" s="9" t="inlineStr">
        <is>
          <t>固定</t>
        </is>
      </c>
      <c r="F41" s="9" t="inlineStr">
        <is>
          <t>タブレット</t>
        </is>
      </c>
      <c r="G41" s="9" t="inlineStr">
        <is>
          <t>電気</t>
        </is>
      </c>
      <c r="H41" s="9" t="inlineStr">
        <is>
          <t>PPCD申込</t>
        </is>
      </c>
      <c r="I41" s="9" t="inlineStr">
        <is>
          <t>SB Gold申込</t>
        </is>
      </c>
      <c r="J41" s="9" t="inlineStr">
        <is>
          <t>戦略機種(Pt)
自動加算</t>
        </is>
      </c>
      <c r="K41" s="9" t="inlineStr">
        <is>
          <t>Watch</t>
        </is>
      </c>
      <c r="L41" s="9" t="inlineStr">
        <is>
          <t>機変</t>
        </is>
      </c>
      <c r="M41" s="9" t="inlineStr">
        <is>
          <t>DMM</t>
        </is>
      </c>
      <c r="N41" s="9" t="inlineStr">
        <is>
          <t>YouTube</t>
        </is>
      </c>
      <c r="O41" s="9" t="inlineStr">
        <is>
          <t>入力</t>
        </is>
      </c>
    </row>
    <row r="42">
      <c r="A42" s="13" t="n">
        <v>1</v>
      </c>
      <c r="B42" s="53">
        <f>IF(A42&lt;=$D$3,目標設定!$C$3+A42-1,"")</f>
        <v/>
      </c>
      <c r="C42" s="29" t="n"/>
      <c r="D42" s="29" t="n"/>
      <c r="E42" s="29" t="n">
        <v>4</v>
      </c>
      <c r="F42" s="29" t="n"/>
      <c r="G42" s="29" t="n"/>
      <c r="H42" s="29" t="n"/>
      <c r="I42" s="29" t="n"/>
      <c r="J42" s="30">
        <f>IF($B42="","",SUMIFS(機種販売入力!$I$4:$I$503,機種販売入力!$A$4:$A$503,$B42))</f>
        <v/>
      </c>
      <c r="K42" s="29" t="n">
        <v>1</v>
      </c>
      <c r="L42" s="29" t="n">
        <v>5</v>
      </c>
      <c r="M42" s="29" t="n">
        <v>2</v>
      </c>
      <c r="N42" s="29" t="n">
        <v>2</v>
      </c>
      <c r="O42" s="31">
        <f>IF(OR(COUNT(C42:I42,K42:N42)&gt;0,N(J42)&gt;0),1,0)</f>
        <v/>
      </c>
    </row>
    <row r="43">
      <c r="A43" s="13" t="n">
        <v>2</v>
      </c>
      <c r="B43" s="53">
        <f>IF(A43&lt;=$D$3,目標設定!$C$3+A43-1,"")</f>
        <v/>
      </c>
      <c r="C43" s="29" t="n">
        <v>2</v>
      </c>
      <c r="D43" s="29" t="n">
        <v>2</v>
      </c>
      <c r="E43" s="29" t="n"/>
      <c r="F43" s="29" t="n"/>
      <c r="G43" s="29" t="n"/>
      <c r="H43" s="29" t="n"/>
      <c r="I43" s="29" t="n"/>
      <c r="J43" s="30">
        <f>IF($B43="","",SUMIFS(機種販売入力!$I$4:$I$503,機種販売入力!$A$4:$A$503,$B43))</f>
        <v/>
      </c>
      <c r="K43" s="29" t="n"/>
      <c r="L43" s="29" t="n"/>
      <c r="M43" s="29" t="n"/>
      <c r="N43" s="29" t="n"/>
      <c r="O43" s="31">
        <f>IF(OR(COUNT(C43:I43,K43:N43)&gt;0,N(J43)&gt;0),1,0)</f>
        <v/>
      </c>
    </row>
    <row r="44">
      <c r="A44" s="13" t="n">
        <v>3</v>
      </c>
      <c r="B44" s="53">
        <f>IF(A44&lt;=$D$3,目標設定!$C$3+A44-1,"")</f>
        <v/>
      </c>
      <c r="C44" s="29" t="n"/>
      <c r="D44" s="29" t="n"/>
      <c r="E44" s="29" t="n">
        <v>2</v>
      </c>
      <c r="F44" s="29" t="n"/>
      <c r="G44" s="29" t="n"/>
      <c r="H44" s="29" t="n">
        <v>2</v>
      </c>
      <c r="I44" s="29" t="n"/>
      <c r="J44" s="30">
        <f>IF($B44="","",SUMIFS(機種販売入力!$I$4:$I$503,機種販売入力!$A$4:$A$503,$B44))</f>
        <v/>
      </c>
      <c r="K44" s="29" t="n">
        <v>1</v>
      </c>
      <c r="L44" s="29" t="n">
        <v>5</v>
      </c>
      <c r="M44" s="29" t="n"/>
      <c r="N44" s="29" t="n">
        <v>1</v>
      </c>
      <c r="O44" s="31">
        <f>IF(OR(COUNT(C44:I44,K44:N44)&gt;0,N(J44)&gt;0),1,0)</f>
        <v/>
      </c>
    </row>
    <row r="45">
      <c r="A45" s="13" t="n">
        <v>4</v>
      </c>
      <c r="B45" s="53">
        <f>IF(A45&lt;=$D$3,目標設定!$C$3+A45-1,"")</f>
        <v/>
      </c>
      <c r="C45" s="29" t="n"/>
      <c r="D45" s="29" t="n"/>
      <c r="E45" s="29" t="n">
        <v>3</v>
      </c>
      <c r="F45" s="29" t="n"/>
      <c r="G45" s="29" t="n"/>
      <c r="H45" s="29" t="n"/>
      <c r="I45" s="29" t="n"/>
      <c r="J45" s="30">
        <f>IF($B45="","",SUMIFS(機種販売入力!$I$4:$I$503,機種販売入力!$A$4:$A$503,$B45))</f>
        <v/>
      </c>
      <c r="K45" s="29" t="n"/>
      <c r="L45" s="29" t="n">
        <v>10</v>
      </c>
      <c r="M45" s="29" t="n"/>
      <c r="N45" s="29" t="n"/>
      <c r="O45" s="31">
        <f>IF(OR(COUNT(C45:I45,K45:N45)&gt;0,N(J45)&gt;0),1,0)</f>
        <v/>
      </c>
    </row>
    <row r="46">
      <c r="A46" s="13" t="n">
        <v>5</v>
      </c>
      <c r="B46" s="53">
        <f>IF(A46&lt;=$D$3,目標設定!$C$3+A46-1,"")</f>
        <v/>
      </c>
      <c r="C46" s="29" t="n"/>
      <c r="D46" s="29" t="n"/>
      <c r="E46" s="29" t="n"/>
      <c r="F46" s="29" t="n"/>
      <c r="G46" s="29" t="n"/>
      <c r="H46" s="29" t="n">
        <v>1</v>
      </c>
      <c r="I46" s="29" t="n"/>
      <c r="J46" s="30">
        <f>IF($B46="","",SUMIFS(機種販売入力!$I$4:$I$503,機種販売入力!$A$4:$A$503,$B46))</f>
        <v/>
      </c>
      <c r="K46" s="29" t="n"/>
      <c r="L46" s="29" t="n">
        <v>5</v>
      </c>
      <c r="M46" s="29" t="n"/>
      <c r="N46" s="29" t="n"/>
      <c r="O46" s="31">
        <f>IF(OR(COUNT(C46:I46,K46:N46)&gt;0,N(J46)&gt;0),1,0)</f>
        <v/>
      </c>
    </row>
    <row r="47">
      <c r="A47" s="13" t="n">
        <v>6</v>
      </c>
      <c r="B47" s="53">
        <f>IF(A47&lt;=$D$3,目標設定!$C$3+A47-1,"")</f>
        <v/>
      </c>
      <c r="C47" s="29" t="n"/>
      <c r="D47" s="29" t="n"/>
      <c r="E47" s="29" t="n">
        <v>1</v>
      </c>
      <c r="F47" s="29" t="n"/>
      <c r="G47" s="29" t="n"/>
      <c r="H47" s="29" t="n"/>
      <c r="I47" s="29" t="n"/>
      <c r="J47" s="30">
        <f>IF($B47="","",SUMIFS(機種販売入力!$I$4:$I$503,機種販売入力!$A$4:$A$503,$B47))</f>
        <v/>
      </c>
      <c r="K47" s="29" t="n">
        <v>1</v>
      </c>
      <c r="L47" s="29" t="n">
        <v>1</v>
      </c>
      <c r="M47" s="29" t="n"/>
      <c r="N47" s="29" t="n"/>
      <c r="O47" s="31">
        <f>IF(OR(COUNT(C47:I47,K47:N47)&gt;0,N(J47)&gt;0),1,0)</f>
        <v/>
      </c>
    </row>
    <row r="48">
      <c r="A48" s="13" t="n">
        <v>7</v>
      </c>
      <c r="B48" s="53">
        <f>IF(A48&lt;=$D$3,目標設定!$C$3+A48-1,"")</f>
        <v/>
      </c>
      <c r="C48" s="29" t="n">
        <v>3</v>
      </c>
      <c r="D48" s="29" t="n">
        <v>3</v>
      </c>
      <c r="E48" s="29" t="n">
        <v>3</v>
      </c>
      <c r="F48" s="29" t="n"/>
      <c r="G48" s="29" t="n"/>
      <c r="H48" s="29" t="n">
        <v>2</v>
      </c>
      <c r="I48" s="29" t="n"/>
      <c r="J48" s="30">
        <f>IF($B48="","",SUMIFS(機種販売入力!$I$4:$I$503,機種販売入力!$A$4:$A$503,$B48))</f>
        <v/>
      </c>
      <c r="K48" s="29" t="n"/>
      <c r="L48" s="29" t="n">
        <v>3</v>
      </c>
      <c r="M48" s="29" t="n"/>
      <c r="N48" s="29" t="n"/>
      <c r="O48" s="31">
        <f>IF(OR(COUNT(C48:I48,K48:N48)&gt;0,N(J48)&gt;0),1,0)</f>
        <v/>
      </c>
    </row>
    <row r="49">
      <c r="A49" s="13" t="n">
        <v>8</v>
      </c>
      <c r="B49" s="53">
        <f>IF(A49&lt;=$D$3,目標設定!$C$3+A49-1,"")</f>
        <v/>
      </c>
      <c r="C49" s="29" t="n"/>
      <c r="D49" s="29" t="n"/>
      <c r="E49" s="29" t="n"/>
      <c r="F49" s="29" t="n"/>
      <c r="G49" s="29" t="n"/>
      <c r="H49" s="29" t="n"/>
      <c r="I49" s="29" t="n"/>
      <c r="J49" s="30">
        <f>IF($B49="","",SUMIFS(機種販売入力!$I$4:$I$503,機種販売入力!$A$4:$A$503,$B49))</f>
        <v/>
      </c>
      <c r="K49" s="29" t="n"/>
      <c r="L49" s="29" t="n"/>
      <c r="M49" s="29" t="n"/>
      <c r="N49" s="29" t="n"/>
      <c r="O49" s="31">
        <f>IF(OR(COUNT(C49:I49,K49:N49)&gt;0,N(J49)&gt;0),1,0)</f>
        <v/>
      </c>
    </row>
    <row r="50">
      <c r="A50" s="13" t="n">
        <v>9</v>
      </c>
      <c r="B50" s="53">
        <f>IF(A50&lt;=$D$3,目標設定!$C$3+A50-1,"")</f>
        <v/>
      </c>
      <c r="C50" s="29" t="n"/>
      <c r="D50" s="29" t="n"/>
      <c r="E50" s="29" t="n"/>
      <c r="F50" s="29" t="n"/>
      <c r="G50" s="29" t="n"/>
      <c r="H50" s="29" t="n"/>
      <c r="I50" s="29" t="n"/>
      <c r="J50" s="30">
        <f>IF($B50="","",SUMIFS(機種販売入力!$I$4:$I$503,機種販売入力!$A$4:$A$503,$B50))</f>
        <v/>
      </c>
      <c r="K50" s="29" t="n"/>
      <c r="L50" s="29" t="n"/>
      <c r="M50" s="29" t="n"/>
      <c r="N50" s="29" t="n"/>
      <c r="O50" s="31">
        <f>IF(OR(COUNT(C50:I50,K50:N50)&gt;0,N(J50)&gt;0),1,0)</f>
        <v/>
      </c>
    </row>
    <row r="51">
      <c r="A51" s="13" t="n">
        <v>10</v>
      </c>
      <c r="B51" s="53">
        <f>IF(A51&lt;=$D$3,目標設定!$C$3+A51-1,"")</f>
        <v/>
      </c>
      <c r="C51" s="29" t="n"/>
      <c r="D51" s="29" t="n"/>
      <c r="E51" s="29" t="n"/>
      <c r="F51" s="29" t="n"/>
      <c r="G51" s="29" t="n"/>
      <c r="H51" s="29" t="n"/>
      <c r="I51" s="29" t="n"/>
      <c r="J51" s="30">
        <f>IF($B51="","",SUMIFS(機種販売入力!$I$4:$I$503,機種販売入力!$A$4:$A$503,$B51))</f>
        <v/>
      </c>
      <c r="K51" s="29" t="n"/>
      <c r="L51" s="29" t="n"/>
      <c r="M51" s="29" t="n"/>
      <c r="N51" s="29" t="n"/>
      <c r="O51" s="31">
        <f>IF(OR(COUNT(C51:I51,K51:N51)&gt;0,N(J51)&gt;0),1,0)</f>
        <v/>
      </c>
    </row>
    <row r="52">
      <c r="A52" s="13" t="n">
        <v>11</v>
      </c>
      <c r="B52" s="53">
        <f>IF(A52&lt;=$D$3,目標設定!$C$3+A52-1,"")</f>
        <v/>
      </c>
      <c r="C52" s="29" t="n"/>
      <c r="D52" s="29" t="n"/>
      <c r="E52" s="29" t="n"/>
      <c r="F52" s="29" t="n"/>
      <c r="G52" s="29" t="n"/>
      <c r="H52" s="29" t="n"/>
      <c r="I52" s="29" t="n"/>
      <c r="J52" s="30">
        <f>IF($B52="","",SUMIFS(機種販売入力!$I$4:$I$503,機種販売入力!$A$4:$A$503,$B52))</f>
        <v/>
      </c>
      <c r="K52" s="29" t="n"/>
      <c r="L52" s="29" t="n"/>
      <c r="M52" s="29" t="n"/>
      <c r="N52" s="29" t="n"/>
      <c r="O52" s="31">
        <f>IF(OR(COUNT(C52:I52,K52:N52)&gt;0,N(J52)&gt;0),1,0)</f>
        <v/>
      </c>
    </row>
    <row r="53">
      <c r="A53" s="13" t="n">
        <v>12</v>
      </c>
      <c r="B53" s="53">
        <f>IF(A53&lt;=$D$3,目標設定!$C$3+A53-1,"")</f>
        <v/>
      </c>
      <c r="C53" s="29" t="n"/>
      <c r="D53" s="29" t="n"/>
      <c r="E53" s="29" t="n"/>
      <c r="F53" s="29" t="n"/>
      <c r="G53" s="29" t="n"/>
      <c r="H53" s="29" t="n"/>
      <c r="I53" s="29" t="n"/>
      <c r="J53" s="30">
        <f>IF($B53="","",SUMIFS(機種販売入力!$I$4:$I$503,機種販売入力!$A$4:$A$503,$B53))</f>
        <v/>
      </c>
      <c r="K53" s="29" t="n"/>
      <c r="L53" s="29" t="n"/>
      <c r="M53" s="29" t="n"/>
      <c r="N53" s="29" t="n"/>
      <c r="O53" s="31">
        <f>IF(OR(COUNT(C53:I53,K53:N53)&gt;0,N(J53)&gt;0),1,0)</f>
        <v/>
      </c>
    </row>
    <row r="54">
      <c r="A54" s="13" t="n">
        <v>13</v>
      </c>
      <c r="B54" s="53">
        <f>IF(A54&lt;=$D$3,目標設定!$C$3+A54-1,"")</f>
        <v/>
      </c>
      <c r="C54" s="29" t="n"/>
      <c r="D54" s="29" t="n"/>
      <c r="E54" s="29" t="n"/>
      <c r="F54" s="29" t="n"/>
      <c r="G54" s="29" t="n"/>
      <c r="H54" s="29" t="n"/>
      <c r="I54" s="29" t="n"/>
      <c r="J54" s="30">
        <f>IF($B54="","",SUMIFS(機種販売入力!$I$4:$I$503,機種販売入力!$A$4:$A$503,$B54))</f>
        <v/>
      </c>
      <c r="K54" s="29" t="n"/>
      <c r="L54" s="29" t="n"/>
      <c r="M54" s="29" t="n"/>
      <c r="N54" s="29" t="n"/>
      <c r="O54" s="31">
        <f>IF(OR(COUNT(C54:I54,K54:N54)&gt;0,N(J54)&gt;0),1,0)</f>
        <v/>
      </c>
    </row>
    <row r="55">
      <c r="A55" s="13" t="n">
        <v>14</v>
      </c>
      <c r="B55" s="53">
        <f>IF(A55&lt;=$D$3,目標設定!$C$3+A55-1,"")</f>
        <v/>
      </c>
      <c r="C55" s="29" t="n"/>
      <c r="D55" s="29" t="n"/>
      <c r="E55" s="29" t="n"/>
      <c r="F55" s="29" t="n"/>
      <c r="G55" s="29" t="n"/>
      <c r="H55" s="29" t="n"/>
      <c r="I55" s="29" t="n"/>
      <c r="J55" s="30">
        <f>IF($B55="","",SUMIFS(機種販売入力!$I$4:$I$503,機種販売入力!$A$4:$A$503,$B55))</f>
        <v/>
      </c>
      <c r="K55" s="29" t="n"/>
      <c r="L55" s="29" t="n"/>
      <c r="M55" s="29" t="n"/>
      <c r="N55" s="29" t="n"/>
      <c r="O55" s="31">
        <f>IF(OR(COUNT(C55:I55,K55:N55)&gt;0,N(J55)&gt;0),1,0)</f>
        <v/>
      </c>
    </row>
    <row r="56">
      <c r="A56" s="13" t="n">
        <v>15</v>
      </c>
      <c r="B56" s="53">
        <f>IF(A56&lt;=$D$3,目標設定!$C$3+A56-1,"")</f>
        <v/>
      </c>
      <c r="C56" s="29" t="n"/>
      <c r="D56" s="29" t="n"/>
      <c r="E56" s="29" t="n"/>
      <c r="F56" s="29" t="n"/>
      <c r="G56" s="29" t="n"/>
      <c r="H56" s="29" t="n"/>
      <c r="I56" s="29" t="n"/>
      <c r="J56" s="30">
        <f>IF($B56="","",SUMIFS(機種販売入力!$I$4:$I$503,機種販売入力!$A$4:$A$503,$B56))</f>
        <v/>
      </c>
      <c r="K56" s="29" t="n"/>
      <c r="L56" s="29" t="n"/>
      <c r="M56" s="29" t="n"/>
      <c r="N56" s="29" t="n"/>
      <c r="O56" s="31">
        <f>IF(OR(COUNT(C56:I56,K56:N56)&gt;0,N(J56)&gt;0),1,0)</f>
        <v/>
      </c>
    </row>
    <row r="57">
      <c r="A57" s="13" t="n">
        <v>16</v>
      </c>
      <c r="B57" s="53">
        <f>IF(A57&lt;=$D$3,目標設定!$C$3+A57-1,"")</f>
        <v/>
      </c>
      <c r="C57" s="29" t="n"/>
      <c r="D57" s="29" t="n"/>
      <c r="E57" s="29" t="n"/>
      <c r="F57" s="29" t="n"/>
      <c r="G57" s="29" t="n"/>
      <c r="H57" s="29" t="n"/>
      <c r="I57" s="29" t="n"/>
      <c r="J57" s="30">
        <f>IF($B57="","",SUMIFS(機種販売入力!$I$4:$I$503,機種販売入力!$A$4:$A$503,$B57))</f>
        <v/>
      </c>
      <c r="K57" s="29" t="n"/>
      <c r="L57" s="29" t="n"/>
      <c r="M57" s="29" t="n"/>
      <c r="N57" s="29" t="n"/>
      <c r="O57" s="31">
        <f>IF(OR(COUNT(C57:I57,K57:N57)&gt;0,N(J57)&gt;0),1,0)</f>
        <v/>
      </c>
    </row>
    <row r="58">
      <c r="A58" s="13" t="n">
        <v>17</v>
      </c>
      <c r="B58" s="53">
        <f>IF(A58&lt;=$D$3,目標設定!$C$3+A58-1,"")</f>
        <v/>
      </c>
      <c r="C58" s="29" t="n"/>
      <c r="D58" s="29" t="n"/>
      <c r="E58" s="29" t="n"/>
      <c r="F58" s="29" t="n"/>
      <c r="G58" s="29" t="n"/>
      <c r="H58" s="29" t="n"/>
      <c r="I58" s="29" t="n"/>
      <c r="J58" s="30">
        <f>IF($B58="","",SUMIFS(機種販売入力!$I$4:$I$503,機種販売入力!$A$4:$A$503,$B58))</f>
        <v/>
      </c>
      <c r="K58" s="29" t="n"/>
      <c r="L58" s="29" t="n"/>
      <c r="M58" s="29" t="n"/>
      <c r="N58" s="29" t="n"/>
      <c r="O58" s="31">
        <f>IF(OR(COUNT(C58:I58,K58:N58)&gt;0,N(J58)&gt;0),1,0)</f>
        <v/>
      </c>
    </row>
    <row r="59">
      <c r="A59" s="13" t="n">
        <v>18</v>
      </c>
      <c r="B59" s="53">
        <f>IF(A59&lt;=$D$3,目標設定!$C$3+A59-1,"")</f>
        <v/>
      </c>
      <c r="C59" s="29" t="n"/>
      <c r="D59" s="29" t="n"/>
      <c r="E59" s="29" t="n"/>
      <c r="F59" s="29" t="n"/>
      <c r="G59" s="29" t="n"/>
      <c r="H59" s="29" t="n"/>
      <c r="I59" s="29" t="n"/>
      <c r="J59" s="30">
        <f>IF($B59="","",SUMIFS(機種販売入力!$I$4:$I$503,機種販売入力!$A$4:$A$503,$B59))</f>
        <v/>
      </c>
      <c r="K59" s="29" t="n"/>
      <c r="L59" s="29" t="n"/>
      <c r="M59" s="29" t="n"/>
      <c r="N59" s="29" t="n"/>
      <c r="O59" s="31">
        <f>IF(OR(COUNT(C59:I59,K59:N59)&gt;0,N(J59)&gt;0),1,0)</f>
        <v/>
      </c>
    </row>
    <row r="60">
      <c r="A60" s="13" t="n">
        <v>19</v>
      </c>
      <c r="B60" s="53">
        <f>IF(A60&lt;=$D$3,目標設定!$C$3+A60-1,"")</f>
        <v/>
      </c>
      <c r="C60" s="29" t="n"/>
      <c r="D60" s="29" t="n"/>
      <c r="E60" s="29" t="n"/>
      <c r="F60" s="29" t="n"/>
      <c r="G60" s="29" t="n"/>
      <c r="H60" s="29" t="n"/>
      <c r="I60" s="29" t="n"/>
      <c r="J60" s="30">
        <f>IF($B60="","",SUMIFS(機種販売入力!$I$4:$I$503,機種販売入力!$A$4:$A$503,$B60))</f>
        <v/>
      </c>
      <c r="K60" s="29" t="n"/>
      <c r="L60" s="29" t="n"/>
      <c r="M60" s="29" t="n"/>
      <c r="N60" s="29" t="n"/>
      <c r="O60" s="31">
        <f>IF(OR(COUNT(C60:I60,K60:N60)&gt;0,N(J60)&gt;0),1,0)</f>
        <v/>
      </c>
    </row>
    <row r="61">
      <c r="A61" s="13" t="n">
        <v>20</v>
      </c>
      <c r="B61" s="53">
        <f>IF(A61&lt;=$D$3,目標設定!$C$3+A61-1,"")</f>
        <v/>
      </c>
      <c r="C61" s="29" t="n"/>
      <c r="D61" s="29" t="n"/>
      <c r="E61" s="29" t="n"/>
      <c r="F61" s="29" t="n"/>
      <c r="G61" s="29" t="n"/>
      <c r="H61" s="29" t="n"/>
      <c r="I61" s="29" t="n"/>
      <c r="J61" s="30">
        <f>IF($B61="","",SUMIFS(機種販売入力!$I$4:$I$503,機種販売入力!$A$4:$A$503,$B61))</f>
        <v/>
      </c>
      <c r="K61" s="29" t="n"/>
      <c r="L61" s="29" t="n"/>
      <c r="M61" s="29" t="n"/>
      <c r="N61" s="29" t="n"/>
      <c r="O61" s="31">
        <f>IF(OR(COUNT(C61:I61,K61:N61)&gt;0,N(J61)&gt;0),1,0)</f>
        <v/>
      </c>
    </row>
    <row r="62">
      <c r="A62" s="13" t="n">
        <v>21</v>
      </c>
      <c r="B62" s="53">
        <f>IF(A62&lt;=$D$3,目標設定!$C$3+A62-1,"")</f>
        <v/>
      </c>
      <c r="C62" s="29" t="n"/>
      <c r="D62" s="29" t="n"/>
      <c r="E62" s="29" t="n"/>
      <c r="F62" s="29" t="n"/>
      <c r="G62" s="29" t="n"/>
      <c r="H62" s="29" t="n"/>
      <c r="I62" s="29" t="n"/>
      <c r="J62" s="30">
        <f>IF($B62="","",SUMIFS(機種販売入力!$I$4:$I$503,機種販売入力!$A$4:$A$503,$B62))</f>
        <v/>
      </c>
      <c r="K62" s="29" t="n"/>
      <c r="L62" s="29" t="n"/>
      <c r="M62" s="29" t="n"/>
      <c r="N62" s="29" t="n"/>
      <c r="O62" s="31">
        <f>IF(OR(COUNT(C62:I62,K62:N62)&gt;0,N(J62)&gt;0),1,0)</f>
        <v/>
      </c>
    </row>
    <row r="63">
      <c r="A63" s="13" t="n">
        <v>22</v>
      </c>
      <c r="B63" s="53">
        <f>IF(A63&lt;=$D$3,目標設定!$C$3+A63-1,"")</f>
        <v/>
      </c>
      <c r="C63" s="29" t="n"/>
      <c r="D63" s="29" t="n"/>
      <c r="E63" s="29" t="n"/>
      <c r="F63" s="29" t="n"/>
      <c r="G63" s="29" t="n"/>
      <c r="H63" s="29" t="n"/>
      <c r="I63" s="29" t="n"/>
      <c r="J63" s="30">
        <f>IF($B63="","",SUMIFS(機種販売入力!$I$4:$I$503,機種販売入力!$A$4:$A$503,$B63))</f>
        <v/>
      </c>
      <c r="K63" s="29" t="n"/>
      <c r="L63" s="29" t="n"/>
      <c r="M63" s="29" t="n"/>
      <c r="N63" s="29" t="n"/>
      <c r="O63" s="31">
        <f>IF(OR(COUNT(C63:I63,K63:N63)&gt;0,N(J63)&gt;0),1,0)</f>
        <v/>
      </c>
    </row>
    <row r="64">
      <c r="A64" s="13" t="n">
        <v>23</v>
      </c>
      <c r="B64" s="53">
        <f>IF(A64&lt;=$D$3,目標設定!$C$3+A64-1,"")</f>
        <v/>
      </c>
      <c r="C64" s="29" t="n"/>
      <c r="D64" s="29" t="n"/>
      <c r="E64" s="29" t="n"/>
      <c r="F64" s="29" t="n"/>
      <c r="G64" s="29" t="n"/>
      <c r="H64" s="29" t="n"/>
      <c r="I64" s="29" t="n"/>
      <c r="J64" s="30">
        <f>IF($B64="","",SUMIFS(機種販売入力!$I$4:$I$503,機種販売入力!$A$4:$A$503,$B64))</f>
        <v/>
      </c>
      <c r="K64" s="29" t="n"/>
      <c r="L64" s="29" t="n"/>
      <c r="M64" s="29" t="n"/>
      <c r="N64" s="29" t="n"/>
      <c r="O64" s="31">
        <f>IF(OR(COUNT(C64:I64,K64:N64)&gt;0,N(J64)&gt;0),1,0)</f>
        <v/>
      </c>
    </row>
    <row r="65">
      <c r="A65" s="13" t="n">
        <v>24</v>
      </c>
      <c r="B65" s="53">
        <f>IF(A65&lt;=$D$3,目標設定!$C$3+A65-1,"")</f>
        <v/>
      </c>
      <c r="C65" s="29" t="n"/>
      <c r="D65" s="29" t="n"/>
      <c r="E65" s="29" t="n"/>
      <c r="F65" s="29" t="n"/>
      <c r="G65" s="29" t="n"/>
      <c r="H65" s="29" t="n"/>
      <c r="I65" s="29" t="n"/>
      <c r="J65" s="30">
        <f>IF($B65="","",SUMIFS(機種販売入力!$I$4:$I$503,機種販売入力!$A$4:$A$503,$B65))</f>
        <v/>
      </c>
      <c r="K65" s="29" t="n"/>
      <c r="L65" s="29" t="n"/>
      <c r="M65" s="29" t="n"/>
      <c r="N65" s="29" t="n"/>
      <c r="O65" s="31">
        <f>IF(OR(COUNT(C65:I65,K65:N65)&gt;0,N(J65)&gt;0),1,0)</f>
        <v/>
      </c>
    </row>
    <row r="66">
      <c r="A66" s="13" t="n">
        <v>25</v>
      </c>
      <c r="B66" s="53">
        <f>IF(A66&lt;=$D$3,目標設定!$C$3+A66-1,"")</f>
        <v/>
      </c>
      <c r="C66" s="29" t="n"/>
      <c r="D66" s="29" t="n"/>
      <c r="E66" s="29" t="n"/>
      <c r="F66" s="29" t="n"/>
      <c r="G66" s="29" t="n"/>
      <c r="H66" s="29" t="n"/>
      <c r="I66" s="29" t="n"/>
      <c r="J66" s="30">
        <f>IF($B66="","",SUMIFS(機種販売入力!$I$4:$I$503,機種販売入力!$A$4:$A$503,$B66))</f>
        <v/>
      </c>
      <c r="K66" s="29" t="n"/>
      <c r="L66" s="29" t="n"/>
      <c r="M66" s="29" t="n"/>
      <c r="N66" s="29" t="n"/>
      <c r="O66" s="31">
        <f>IF(OR(COUNT(C66:I66,K66:N66)&gt;0,N(J66)&gt;0),1,0)</f>
        <v/>
      </c>
    </row>
    <row r="67">
      <c r="A67" s="13" t="n">
        <v>26</v>
      </c>
      <c r="B67" s="53">
        <f>IF(A67&lt;=$D$3,目標設定!$C$3+A67-1,"")</f>
        <v/>
      </c>
      <c r="C67" s="29" t="n"/>
      <c r="D67" s="29" t="n"/>
      <c r="E67" s="29" t="n"/>
      <c r="F67" s="29" t="n"/>
      <c r="G67" s="29" t="n"/>
      <c r="H67" s="29" t="n"/>
      <c r="I67" s="29" t="n"/>
      <c r="J67" s="30">
        <f>IF($B67="","",SUMIFS(機種販売入力!$I$4:$I$503,機種販売入力!$A$4:$A$503,$B67))</f>
        <v/>
      </c>
      <c r="K67" s="29" t="n"/>
      <c r="L67" s="29" t="n"/>
      <c r="M67" s="29" t="n"/>
      <c r="N67" s="29" t="n"/>
      <c r="O67" s="31">
        <f>IF(OR(COUNT(C67:I67,K67:N67)&gt;0,N(J67)&gt;0),1,0)</f>
        <v/>
      </c>
    </row>
    <row r="68">
      <c r="A68" s="13" t="n">
        <v>27</v>
      </c>
      <c r="B68" s="53">
        <f>IF(A68&lt;=$D$3,目標設定!$C$3+A68-1,"")</f>
        <v/>
      </c>
      <c r="C68" s="29" t="n"/>
      <c r="D68" s="29" t="n"/>
      <c r="E68" s="29" t="n"/>
      <c r="F68" s="29" t="n"/>
      <c r="G68" s="29" t="n"/>
      <c r="H68" s="29" t="n"/>
      <c r="I68" s="29" t="n"/>
      <c r="J68" s="30">
        <f>IF($B68="","",SUMIFS(機種販売入力!$I$4:$I$503,機種販売入力!$A$4:$A$503,$B68))</f>
        <v/>
      </c>
      <c r="K68" s="29" t="n"/>
      <c r="L68" s="29" t="n"/>
      <c r="M68" s="29" t="n"/>
      <c r="N68" s="29" t="n"/>
      <c r="O68" s="31">
        <f>IF(OR(COUNT(C68:I68,K68:N68)&gt;0,N(J68)&gt;0),1,0)</f>
        <v/>
      </c>
    </row>
    <row r="69">
      <c r="A69" s="13" t="n">
        <v>28</v>
      </c>
      <c r="B69" s="53">
        <f>IF(A69&lt;=$D$3,目標設定!$C$3+A69-1,"")</f>
        <v/>
      </c>
      <c r="C69" s="29" t="n"/>
      <c r="D69" s="29" t="n"/>
      <c r="E69" s="29" t="n"/>
      <c r="F69" s="29" t="n"/>
      <c r="G69" s="29" t="n"/>
      <c r="H69" s="29" t="n"/>
      <c r="I69" s="29" t="n"/>
      <c r="J69" s="30">
        <f>IF($B69="","",SUMIFS(機種販売入力!$I$4:$I$503,機種販売入力!$A$4:$A$503,$B69))</f>
        <v/>
      </c>
      <c r="K69" s="29" t="n"/>
      <c r="L69" s="29" t="n"/>
      <c r="M69" s="29" t="n"/>
      <c r="N69" s="29" t="n"/>
      <c r="O69" s="31">
        <f>IF(OR(COUNT(C69:I69,K69:N69)&gt;0,N(J69)&gt;0),1,0)</f>
        <v/>
      </c>
    </row>
    <row r="70">
      <c r="A70" s="13" t="n">
        <v>29</v>
      </c>
      <c r="B70" s="53">
        <f>IF(A70&lt;=$D$3,目標設定!$C$3+A70-1,"")</f>
        <v/>
      </c>
      <c r="C70" s="29" t="n"/>
      <c r="D70" s="29" t="n"/>
      <c r="E70" s="29" t="n"/>
      <c r="F70" s="29" t="n"/>
      <c r="G70" s="29" t="n"/>
      <c r="H70" s="29" t="n"/>
      <c r="I70" s="29" t="n"/>
      <c r="J70" s="30">
        <f>IF($B70="","",SUMIFS(機種販売入力!$I$4:$I$503,機種販売入力!$A$4:$A$503,$B70))</f>
        <v/>
      </c>
      <c r="K70" s="29" t="n"/>
      <c r="L70" s="29" t="n"/>
      <c r="M70" s="29" t="n"/>
      <c r="N70" s="29" t="n"/>
      <c r="O70" s="31">
        <f>IF(OR(COUNT(C70:I70,K70:N70)&gt;0,N(J70)&gt;0),1,0)</f>
        <v/>
      </c>
    </row>
    <row r="71">
      <c r="A71" s="13" t="n">
        <v>30</v>
      </c>
      <c r="B71" s="53">
        <f>IF(A71&lt;=$D$3,目標設定!$C$3+A71-1,"")</f>
        <v/>
      </c>
      <c r="C71" s="29" t="n"/>
      <c r="D71" s="29" t="n"/>
      <c r="E71" s="29" t="n"/>
      <c r="F71" s="29" t="n"/>
      <c r="G71" s="29" t="n"/>
      <c r="H71" s="29" t="n"/>
      <c r="I71" s="29" t="n"/>
      <c r="J71" s="30">
        <f>IF($B71="","",SUMIFS(機種販売入力!$I$4:$I$503,機種販売入力!$A$4:$A$503,$B71))</f>
        <v/>
      </c>
      <c r="K71" s="29" t="n"/>
      <c r="L71" s="29" t="n"/>
      <c r="M71" s="29" t="n"/>
      <c r="N71" s="29" t="n"/>
      <c r="O71" s="31">
        <f>IF(OR(COUNT(C71:I71,K71:N71)&gt;0,N(J71)&gt;0),1,0)</f>
        <v/>
      </c>
    </row>
    <row r="72">
      <c r="A72" s="13" t="n">
        <v>31</v>
      </c>
      <c r="B72" s="53">
        <f>IF(A72&lt;=$D$3,目標設定!$C$3+A72-1,"")</f>
        <v/>
      </c>
      <c r="C72" s="29" t="n"/>
      <c r="D72" s="29" t="n"/>
      <c r="E72" s="29" t="n"/>
      <c r="F72" s="29" t="n"/>
      <c r="G72" s="29" t="n"/>
      <c r="H72" s="29" t="n"/>
      <c r="I72" s="29" t="n"/>
      <c r="J72" s="30">
        <f>IF($B72="","",SUMIFS(機種販売入力!$I$4:$I$503,機種販売入力!$A$4:$A$503,$B72))</f>
        <v/>
      </c>
      <c r="K72" s="29" t="n"/>
      <c r="L72" s="29" t="n"/>
      <c r="M72" s="29" t="n"/>
      <c r="N72" s="29" t="n"/>
      <c r="O72" s="31">
        <f>IF(OR(COUNT(C72:I72,K72:N72)&gt;0,N(J72)&gt;0),1,0)</f>
        <v/>
      </c>
    </row>
    <row r="73">
      <c r="A73" s="18" t="inlineStr">
        <is>
          <t>月間合計</t>
        </is>
      </c>
      <c r="B73" s="54" t="n"/>
      <c r="C73" s="18">
        <f>SUM(C42:C72)</f>
        <v/>
      </c>
      <c r="D73" s="18">
        <f>SUM(D42:D72)</f>
        <v/>
      </c>
      <c r="E73" s="18">
        <f>SUM(E42:E72)</f>
        <v/>
      </c>
      <c r="F73" s="18">
        <f>SUM(F42:F72)</f>
        <v/>
      </c>
      <c r="G73" s="18">
        <f>SUM(G42:G72)</f>
        <v/>
      </c>
      <c r="H73" s="18">
        <f>SUM(H42:H72)</f>
        <v/>
      </c>
      <c r="I73" s="18">
        <f>SUM(I42:I72)</f>
        <v/>
      </c>
      <c r="J73" s="18">
        <f>SUM(J42:J72)</f>
        <v/>
      </c>
      <c r="K73" s="18">
        <f>SUM(K42:K72)</f>
        <v/>
      </c>
      <c r="L73" s="18">
        <f>SUM(L42:L72)</f>
        <v/>
      </c>
      <c r="M73" s="18">
        <f>SUM(M42:M72)</f>
        <v/>
      </c>
      <c r="N73" s="18">
        <f>SUM(N42:N72)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73:B73"/>
  </mergeCells>
  <conditionalFormatting sqref="I6:I25">
    <cfRule type="cellIs" priority="1" operator="equal" dxfId="0">
      <formula>"達成"</formula>
    </cfRule>
    <cfRule type="cellIs" priority="2" operator="equal" dxfId="1">
      <formula>"順調"</formula>
    </cfRule>
    <cfRule type="cellIs" priority="3" operator="equal" dxfId="2">
      <formula>"遅れ"</formula>
    </cfRule>
    <cfRule type="cellIs" priority="4" operator="equal" dxfId="3">
      <formula>"目標未設定"</formula>
    </cfRule>
  </conditionalFormatting>
  <conditionalFormatting sqref="G6:G25">
    <cfRule type="expression" priority="5" dxfId="4">
      <formula>AND(ISNUMBER(G6),G6&lt;0)</formula>
    </cfRule>
  </conditionalFormatting>
  <conditionalFormatting sqref="B35">
    <cfRule type="cellIs" priority="6" operator="greaterThan" dxfId="2">
      <formula>0</formula>
    </cfRule>
  </conditionalFormatting>
  <conditionalFormatting sqref="A42:O72">
    <cfRule type="expression" priority="7" dxfId="5">
      <formula>$B42=""</formula>
    </cfRule>
  </conditionalFormatting>
  <conditionalFormatting sqref="A42:B72">
    <cfRule type="expression" priority="8" dxfId="6">
      <formula>$A42=$F$3</formula>
    </cfRule>
    <cfRule type="expression" priority="9" dxfId="4">
      <formula>AND($B42&lt;&gt;"",WEEKDAY($B42)=1)</formula>
    </cfRule>
    <cfRule type="expression" priority="10" dxfId="7">
      <formula>AND($B42&lt;&gt;"",WEEKDAY($B42)=7)</formula>
    </cfRule>
  </conditionalFormatting>
  <dataValidations count="1">
    <dataValidation sqref="C42:N72" showDropDown="0" showInputMessage="0" showErrorMessage="0" allowBlank="1" errorTitle="入力エラー" error="0以上の整数を入力してください。" type="whole" operator="greaterThanOrEqual">
      <formula1>0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4" customWidth="1" min="4" max="4"/>
    <col width="30" customWidth="1" min="5" max="5"/>
    <col width="18" customWidth="1" min="6" max="6"/>
  </cols>
  <sheetData>
    <row r="1">
      <c r="B1" s="1" t="inlineStr">
        <is>
          <t>目標設定(1ヶ月の目標値)</t>
        </is>
      </c>
    </row>
    <row r="3">
      <c r="B3" s="5" t="inlineStr">
        <is>
          <t>対象月(1日の日付)</t>
        </is>
      </c>
      <c r="C3" s="55" t="n">
        <v>46296</v>
      </c>
      <c r="D3" s="22" t="inlineStr">
        <is>
          <t>※ 月が変わったら、この日付を新しい月の1日に変更してください。</t>
        </is>
      </c>
    </row>
    <row r="4">
      <c r="B4" s="5" t="inlineStr">
        <is>
          <t>月の日数</t>
        </is>
      </c>
      <c r="C4" s="13">
        <f>DAY(EOMONTH(C3,0))</f>
        <v/>
      </c>
    </row>
    <row r="6" ht="45" customHeight="1">
      <c r="B6" s="9" t="inlineStr">
        <is>
          <t>No.</t>
        </is>
      </c>
      <c r="C6" s="9" t="inlineStr">
        <is>
          <t>項目</t>
        </is>
      </c>
      <c r="D6" s="9" t="inlineStr">
        <is>
          <t>月間目標</t>
        </is>
      </c>
      <c r="E6" s="9" t="inlineStr">
        <is>
          <t>備考</t>
        </is>
      </c>
      <c r="F6" s="9" t="inlineStr">
        <is>
          <t>手入力欄
(No.6・7=率 / No.13〜19=実績の数値)</t>
        </is>
      </c>
    </row>
    <row r="7">
      <c r="B7" s="13" t="n">
        <v>1</v>
      </c>
      <c r="C7" s="5" t="inlineStr">
        <is>
          <t>新規</t>
        </is>
      </c>
      <c r="D7" s="33" t="n">
        <v>88</v>
      </c>
      <c r="E7" s="13" t="inlineStr">
        <is>
          <t>SBYM対外新規</t>
        </is>
      </c>
      <c r="F7" s="34" t="n"/>
    </row>
    <row r="8">
      <c r="B8" s="13" t="n">
        <v>2</v>
      </c>
      <c r="C8" s="5" t="inlineStr">
        <is>
          <t>MNP</t>
        </is>
      </c>
      <c r="D8" s="33" t="n">
        <v>66</v>
      </c>
      <c r="E8" s="13" t="inlineStr"/>
      <c r="F8" s="34" t="n"/>
    </row>
    <row r="9">
      <c r="B9" s="13" t="n">
        <v>3</v>
      </c>
      <c r="C9" s="5" t="inlineStr">
        <is>
          <t>固定</t>
        </is>
      </c>
      <c r="D9" s="33" t="n">
        <v>51</v>
      </c>
      <c r="E9" s="13" t="inlineStr"/>
      <c r="F9" s="34" t="n"/>
    </row>
    <row r="10">
      <c r="B10" s="13" t="n">
        <v>4</v>
      </c>
      <c r="C10" s="5" t="inlineStr">
        <is>
          <t>タブレット</t>
        </is>
      </c>
      <c r="D10" s="33" t="n">
        <v>7</v>
      </c>
      <c r="E10" s="13" t="inlineStr"/>
      <c r="F10" s="34" t="n"/>
    </row>
    <row r="11">
      <c r="B11" s="13" t="n">
        <v>5</v>
      </c>
      <c r="C11" s="5" t="inlineStr">
        <is>
          <t>電気</t>
        </is>
      </c>
      <c r="D11" s="33" t="n">
        <v>12</v>
      </c>
      <c r="E11" s="13" t="inlineStr">
        <is>
          <t>でんき</t>
        </is>
      </c>
      <c r="F11" s="34" t="n"/>
    </row>
    <row r="12">
      <c r="B12" s="13" t="n">
        <v>6</v>
      </c>
      <c r="C12" s="5" t="inlineStr">
        <is>
          <t>PPCD申込</t>
        </is>
      </c>
      <c r="D12" s="30" t="inlineStr">
        <is>
          <t>-</t>
        </is>
      </c>
      <c r="E12" s="13" t="inlineStr">
        <is>
          <t>申込率を右の列に手入力</t>
        </is>
      </c>
      <c r="F12" s="35" t="n"/>
    </row>
    <row r="13">
      <c r="B13" s="13" t="n">
        <v>7</v>
      </c>
      <c r="C13" s="5" t="inlineStr">
        <is>
          <t>SB Gold申込</t>
        </is>
      </c>
      <c r="D13" s="30" t="inlineStr">
        <is>
          <t>-</t>
        </is>
      </c>
      <c r="E13" s="13" t="inlineStr">
        <is>
          <t>申込率を右の列に手入力</t>
        </is>
      </c>
      <c r="F13" s="35" t="n"/>
    </row>
    <row r="14">
      <c r="B14" s="13" t="n">
        <v>8</v>
      </c>
      <c r="C14" s="5" t="inlineStr">
        <is>
          <t>戦略機種(Pt)</t>
        </is>
      </c>
      <c r="D14" s="33" t="n">
        <v>849</v>
      </c>
      <c r="E14" s="13" t="inlineStr">
        <is>
          <t>目標はPt / 機種販売入力から自動加算</t>
        </is>
      </c>
      <c r="F14" s="34" t="n"/>
    </row>
    <row r="15">
      <c r="B15" s="13" t="n">
        <v>9</v>
      </c>
      <c r="C15" s="5" t="inlineStr">
        <is>
          <t>Watch</t>
        </is>
      </c>
      <c r="D15" s="33" t="n">
        <v>5</v>
      </c>
      <c r="E15" s="13" t="inlineStr">
        <is>
          <t>ウォッチ</t>
        </is>
      </c>
      <c r="F15" s="34" t="n"/>
    </row>
    <row r="16">
      <c r="B16" s="13" t="n">
        <v>10</v>
      </c>
      <c r="C16" s="5" t="inlineStr">
        <is>
          <t>機変</t>
        </is>
      </c>
      <c r="D16" s="33" t="n">
        <v>150</v>
      </c>
      <c r="E16" s="13" t="inlineStr"/>
      <c r="F16" s="34" t="n"/>
    </row>
    <row r="17">
      <c r="B17" s="13" t="n">
        <v>11</v>
      </c>
      <c r="C17" s="5" t="inlineStr">
        <is>
          <t>DMM</t>
        </is>
      </c>
      <c r="D17" s="33" t="n">
        <v>26</v>
      </c>
      <c r="E17" s="13" t="inlineStr"/>
      <c r="F17" s="34" t="n"/>
    </row>
    <row r="18">
      <c r="B18" s="13" t="n">
        <v>12</v>
      </c>
      <c r="C18" s="5" t="inlineStr">
        <is>
          <t>YouTube</t>
        </is>
      </c>
      <c r="D18" s="33" t="n">
        <v>46</v>
      </c>
      <c r="E18" s="13" t="inlineStr"/>
      <c r="F18" s="34" t="n"/>
    </row>
    <row r="19" ht="30" customHeight="1">
      <c r="B19" s="13" t="n">
        <v>13</v>
      </c>
      <c r="C19" s="5" t="inlineStr">
        <is>
          <t>SBプラン
(ペイトク率)</t>
        </is>
      </c>
      <c r="D19" s="33" t="n"/>
      <c r="E19" s="13" t="inlineStr">
        <is>
          <t>目標=D列、実績=F列に数値を手入力(ラダーなし)</t>
        </is>
      </c>
      <c r="F19" s="33" t="n"/>
    </row>
    <row r="20" ht="30" customHeight="1">
      <c r="B20" s="13" t="n">
        <v>14</v>
      </c>
      <c r="C20" s="5" t="inlineStr">
        <is>
          <t>SBプラン
(大容量率)</t>
        </is>
      </c>
      <c r="D20" s="33" t="n"/>
      <c r="E20" s="13" t="inlineStr">
        <is>
          <t>目標=D列、実績=F列に数値を手入力(ラダーなし)</t>
        </is>
      </c>
      <c r="F20" s="33" t="n"/>
    </row>
    <row r="21">
      <c r="B21" s="13" t="n">
        <v>15</v>
      </c>
      <c r="C21" s="5" t="inlineStr">
        <is>
          <t>SB通話OP</t>
        </is>
      </c>
      <c r="D21" s="33" t="n"/>
      <c r="E21" s="13" t="inlineStr">
        <is>
          <t>目標=D列、実績=F列に数値を手入力</t>
        </is>
      </c>
      <c r="F21" s="33" t="n"/>
    </row>
    <row r="22">
      <c r="B22" s="13" t="n">
        <v>16</v>
      </c>
      <c r="C22" s="5" t="inlineStr">
        <is>
          <t>SB保証</t>
        </is>
      </c>
      <c r="D22" s="33" t="n"/>
      <c r="E22" s="13" t="inlineStr">
        <is>
          <t>目標=D列、実績=F列に数値を手入力</t>
        </is>
      </c>
      <c r="F22" s="33" t="n"/>
    </row>
    <row r="23">
      <c r="B23" s="13" t="n">
        <v>17</v>
      </c>
      <c r="C23" s="5" t="inlineStr">
        <is>
          <t>SBセキュリティ</t>
        </is>
      </c>
      <c r="D23" s="33" t="n"/>
      <c r="E23" s="13" t="inlineStr">
        <is>
          <t>目標=D列、実績=F列に数値を手入力</t>
        </is>
      </c>
      <c r="F23" s="33" t="n"/>
    </row>
    <row r="24" ht="30" customHeight="1">
      <c r="B24" s="13" t="n">
        <v>18</v>
      </c>
      <c r="C24" s="5" t="inlineStr">
        <is>
          <t>SB店スマ</t>
        </is>
      </c>
      <c r="D24" s="33" t="n"/>
      <c r="E24" s="13" t="inlineStr">
        <is>
          <t>目標=D列、実績=F列に数値を手入力(ラダーなし)</t>
        </is>
      </c>
      <c r="F24" s="33" t="n"/>
    </row>
    <row r="25">
      <c r="B25" s="13" t="n">
        <v>19</v>
      </c>
      <c r="C25" s="5" t="inlineStr">
        <is>
          <t>SB支払設定</t>
        </is>
      </c>
      <c r="D25" s="33" t="n"/>
      <c r="E25" s="13" t="inlineStr">
        <is>
          <t>目標=D列、実績=F列に数値を手入力</t>
        </is>
      </c>
      <c r="F25" s="33" t="n"/>
    </row>
    <row r="27">
      <c r="B27" s="22" t="inlineStr">
        <is>
          <t>※ 黄色のセル(青字)が入力欄です。目標が空欄の項目は、達成率が「-」と表示されます。</t>
        </is>
      </c>
    </row>
    <row r="28">
      <c r="B28" s="22" t="inlineStr">
        <is>
          <t>※ PPCD申込・SB Goldは分母の計算が複雑なため、申込率(例 25%)を右端の列に手入力すると、その率でラダーの配点を判定します。</t>
        </is>
      </c>
    </row>
    <row r="29">
      <c r="B29" s="22" t="inlineStr">
        <is>
          <t>※ No.13〜19は追加項目です。目標(D列)と実績(F列)に数値を手入力すると、「進捗確認」シートのYouTubeと合計の間に達成率・残数・判定などを表示します(SB通話OP・SB保証・SBセキュリティ・SB支払設定は、達成率に対応する配点も「ラダー」シートから表示)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" customWidth="1" min="3" max="3"/>
    <col width="9" customWidth="1" min="4" max="4"/>
    <col width="8" customWidth="1" min="5" max="5"/>
    <col width="2" customWidth="1" min="6" max="6"/>
    <col width="9" customWidth="1" min="7" max="7"/>
    <col width="8" customWidth="1" min="8" max="8"/>
    <col width="2" customWidth="1" min="9" max="9"/>
    <col width="9" customWidth="1" min="10" max="10"/>
    <col width="8" customWidth="1" min="11" max="11"/>
    <col width="2" customWidth="1" min="12" max="12"/>
    <col width="9" customWidth="1" min="13" max="13"/>
    <col width="8" customWidth="1" min="14" max="14"/>
    <col width="2" customWidth="1" min="15" max="15"/>
    <col width="9" customWidth="1" min="16" max="16"/>
    <col width="8" customWidth="1" min="17" max="17"/>
    <col width="2" customWidth="1" min="18" max="18"/>
    <col width="9" customWidth="1" min="19" max="19"/>
    <col width="8" customWidth="1" min="20" max="20"/>
    <col width="2" customWidth="1" min="21" max="21"/>
    <col width="9" customWidth="1" min="22" max="22"/>
    <col width="8" customWidth="1" min="23" max="23"/>
    <col width="2" customWidth="1" min="24" max="24"/>
    <col width="9" customWidth="1" min="25" max="25"/>
    <col width="8" customWidth="1" min="26" max="26"/>
    <col width="2" customWidth="1" min="27" max="27"/>
    <col width="9" customWidth="1" min="28" max="28"/>
    <col width="8" customWidth="1" min="29" max="29"/>
    <col width="10" customWidth="1" min="30" max="30"/>
    <col width="2" customWidth="1" min="31" max="31"/>
    <col width="9" customWidth="1" min="32" max="32"/>
    <col width="8" customWidth="1" min="33" max="33"/>
    <col width="2" customWidth="1" min="34" max="34"/>
    <col width="9" customWidth="1" min="35" max="35"/>
    <col width="8" customWidth="1" min="36" max="36"/>
    <col width="2" customWidth="1" min="37" max="37"/>
    <col width="9" customWidth="1" min="38" max="38"/>
    <col width="8" customWidth="1" min="39" max="39"/>
    <col width="2" customWidth="1" min="40" max="40"/>
    <col width="9" customWidth="1" min="41" max="41"/>
    <col width="8" customWidth="1" min="42" max="42"/>
    <col width="2" customWidth="1" min="43" max="43"/>
    <col width="9" customWidth="1" min="44" max="44"/>
    <col width="8" customWidth="1" min="45" max="45"/>
    <col width="2" customWidth="1" min="46" max="46"/>
    <col width="12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</cols>
  <sheetData>
    <row r="1">
      <c r="A1" s="1" t="inlineStr">
        <is>
          <t>ラダー(達成率 → 配点)</t>
        </is>
      </c>
    </row>
    <row r="2">
      <c r="A2" s="22" t="inlineStr">
        <is>
          <t>「測定項目ラダー」の表です。達成率が「その段以上」になった最も高い段の配点が付きます。ラダーが変わったら黄色いセルを書き換えてください(段の追加は空き行へ)。右側にSB通話OP・SB保証・SBセキュリティ・SB店スマ・SB支払設定とSBプラン×大容量の表を追加しています(率は「目標設定」シートで手入力)。</t>
        </is>
      </c>
    </row>
    <row r="3" ht="42" customHeight="1">
      <c r="A3" s="9" t="inlineStr">
        <is>
          <t>新規
(SYスマホ対外新規達成率)</t>
        </is>
      </c>
      <c r="B3" s="54" t="n"/>
      <c r="D3" s="9" t="inlineStr">
        <is>
          <t>MNP
(SYスマホMNP達成率)</t>
        </is>
      </c>
      <c r="E3" s="54" t="n"/>
      <c r="G3" s="9" t="inlineStr">
        <is>
          <t>機変
(機変スマホ達成率)</t>
        </is>
      </c>
      <c r="H3" s="54" t="n"/>
      <c r="J3" s="9" t="inlineStr">
        <is>
          <t>固定
(固定達成率)</t>
        </is>
      </c>
      <c r="K3" s="54" t="n"/>
      <c r="M3" s="9" t="inlineStr">
        <is>
          <t>タブレット
(タブレット達成率)</t>
        </is>
      </c>
      <c r="N3" s="54" t="n"/>
      <c r="P3" s="9" t="inlineStr">
        <is>
          <t>電気
(でんき達成率)</t>
        </is>
      </c>
      <c r="Q3" s="54" t="n"/>
      <c r="S3" s="9" t="inlineStr">
        <is>
          <t>PPCD申込
(PPCD申込)</t>
        </is>
      </c>
      <c r="T3" s="54" t="n"/>
      <c r="V3" s="9" t="inlineStr">
        <is>
          <t>SB Gold申込
(SBGold申込)</t>
        </is>
      </c>
      <c r="W3" s="54" t="n"/>
      <c r="Y3" s="9" t="inlineStr">
        <is>
          <t>戦略機種(Pt)
(戦略機種)</t>
        </is>
      </c>
      <c r="Z3" s="54" t="n"/>
      <c r="AB3" s="9" t="inlineStr">
        <is>
          <t>Watch
(Watch)</t>
        </is>
      </c>
      <c r="AC3" s="59" t="n"/>
      <c r="AD3" s="54" t="n"/>
      <c r="AF3" s="9" t="inlineStr">
        <is>
          <t>SB通話OP
(SB通話OP)</t>
        </is>
      </c>
      <c r="AG3" s="54" t="n"/>
      <c r="AI3" s="9" t="inlineStr">
        <is>
          <t>SB保証
(SB保証)</t>
        </is>
      </c>
      <c r="AJ3" s="54" t="n"/>
      <c r="AL3" s="9" t="inlineStr">
        <is>
          <t>SBセキュリティ
(SBセキュリティ)</t>
        </is>
      </c>
      <c r="AM3" s="54" t="n"/>
      <c r="AO3" s="9" t="inlineStr">
        <is>
          <t>SB店スマ
(ラダーなし)</t>
        </is>
      </c>
      <c r="AP3" s="54" t="n"/>
      <c r="AR3" s="9" t="inlineStr">
        <is>
          <t>SB支払設定
(SB支払設定)</t>
        </is>
      </c>
      <c r="AS3" s="54" t="n"/>
      <c r="AU3" s="9" t="inlineStr">
        <is>
          <t>SBプラン × 大容量
(ペイトク率 × 大容量率 → 配点)</t>
        </is>
      </c>
      <c r="AV3" s="59" t="n"/>
      <c r="AW3" s="59" t="n"/>
      <c r="AX3" s="59" t="n"/>
      <c r="AY3" s="59" t="n"/>
      <c r="AZ3" s="59" t="n"/>
      <c r="BA3" s="54" t="n"/>
    </row>
    <row r="4">
      <c r="A4" s="9" t="inlineStr">
        <is>
          <t>達成率</t>
        </is>
      </c>
      <c r="B4" s="9" t="inlineStr">
        <is>
          <t>配点</t>
        </is>
      </c>
      <c r="D4" s="9" t="inlineStr">
        <is>
          <t>達成率</t>
        </is>
      </c>
      <c r="E4" s="9" t="inlineStr">
        <is>
          <t>配点</t>
        </is>
      </c>
      <c r="G4" s="9" t="inlineStr">
        <is>
          <t>達成率</t>
        </is>
      </c>
      <c r="H4" s="9" t="inlineStr">
        <is>
          <t>配点</t>
        </is>
      </c>
      <c r="J4" s="9" t="inlineStr">
        <is>
          <t>達成率</t>
        </is>
      </c>
      <c r="K4" s="9" t="inlineStr">
        <is>
          <t>配点</t>
        </is>
      </c>
      <c r="M4" s="9" t="inlineStr">
        <is>
          <t>達成率</t>
        </is>
      </c>
      <c r="N4" s="9" t="inlineStr">
        <is>
          <t>配点</t>
        </is>
      </c>
      <c r="P4" s="9" t="inlineStr">
        <is>
          <t>達成率</t>
        </is>
      </c>
      <c r="Q4" s="9" t="inlineStr">
        <is>
          <t>配点</t>
        </is>
      </c>
      <c r="S4" s="9" t="inlineStr">
        <is>
          <t>達成率</t>
        </is>
      </c>
      <c r="T4" s="9" t="inlineStr">
        <is>
          <t>配点</t>
        </is>
      </c>
      <c r="V4" s="9" t="inlineStr">
        <is>
          <t>達成率</t>
        </is>
      </c>
      <c r="W4" s="9" t="inlineStr">
        <is>
          <t>配点</t>
        </is>
      </c>
      <c r="Y4" s="9" t="inlineStr">
        <is>
          <t>達成率</t>
        </is>
      </c>
      <c r="Z4" s="9" t="inlineStr">
        <is>
          <t>配点</t>
        </is>
      </c>
      <c r="AB4" s="9" t="inlineStr">
        <is>
          <t>達成率</t>
        </is>
      </c>
      <c r="AC4" s="9" t="inlineStr">
        <is>
          <t>配点</t>
        </is>
      </c>
      <c r="AD4" s="9" t="inlineStr">
        <is>
          <t>全メーカー
得点</t>
        </is>
      </c>
      <c r="AF4" s="9" t="inlineStr">
        <is>
          <t>達成率</t>
        </is>
      </c>
      <c r="AG4" s="9" t="inlineStr">
        <is>
          <t>配点</t>
        </is>
      </c>
      <c r="AI4" s="9" t="inlineStr">
        <is>
          <t>達成率</t>
        </is>
      </c>
      <c r="AJ4" s="9" t="inlineStr">
        <is>
          <t>配点</t>
        </is>
      </c>
      <c r="AL4" s="9" t="inlineStr">
        <is>
          <t>達成率</t>
        </is>
      </c>
      <c r="AM4" s="9" t="inlineStr">
        <is>
          <t>配点</t>
        </is>
      </c>
      <c r="AO4" s="9" t="inlineStr">
        <is>
          <t>達成率</t>
        </is>
      </c>
      <c r="AP4" s="9" t="inlineStr">
        <is>
          <t>配点</t>
        </is>
      </c>
      <c r="AR4" s="9" t="inlineStr">
        <is>
          <t>達成率</t>
        </is>
      </c>
      <c r="AS4" s="9" t="inlineStr">
        <is>
          <t>配点</t>
        </is>
      </c>
      <c r="AU4" s="9" t="inlineStr">
        <is>
          <t>ペイトク率↓
大容量率→</t>
        </is>
      </c>
      <c r="AV4" s="36" t="n">
        <v>0</v>
      </c>
      <c r="AW4" s="36" t="n">
        <v>0.6</v>
      </c>
      <c r="AX4" s="36" t="n">
        <v>0.65</v>
      </c>
      <c r="AY4" s="36" t="n">
        <v>0.7</v>
      </c>
      <c r="AZ4" s="36" t="n">
        <v>0.75</v>
      </c>
      <c r="BA4" s="36" t="n">
        <v>0.8</v>
      </c>
    </row>
    <row r="5">
      <c r="A5" s="36" t="n">
        <v>0</v>
      </c>
      <c r="B5" s="37" t="n">
        <v>0</v>
      </c>
      <c r="D5" s="36" t="n">
        <v>0</v>
      </c>
      <c r="E5" s="37" t="n">
        <v>0</v>
      </c>
      <c r="G5" s="36" t="n">
        <v>0</v>
      </c>
      <c r="H5" s="37" t="n">
        <v>0</v>
      </c>
      <c r="J5" s="36" t="n">
        <v>0</v>
      </c>
      <c r="K5" s="37" t="n">
        <v>0</v>
      </c>
      <c r="M5" s="36" t="n">
        <v>0</v>
      </c>
      <c r="N5" s="37" t="n">
        <v>0</v>
      </c>
      <c r="P5" s="36" t="n">
        <v>0</v>
      </c>
      <c r="Q5" s="37" t="n">
        <v>0</v>
      </c>
      <c r="S5" s="36" t="n">
        <v>0</v>
      </c>
      <c r="T5" s="37" t="n">
        <v>0</v>
      </c>
      <c r="V5" s="36" t="n">
        <v>0</v>
      </c>
      <c r="W5" s="37" t="n">
        <v>0</v>
      </c>
      <c r="Y5" s="36" t="n">
        <v>0</v>
      </c>
      <c r="Z5" s="37" t="n">
        <v>0</v>
      </c>
      <c r="AB5" s="36" t="n">
        <v>0</v>
      </c>
      <c r="AC5" s="37" t="n">
        <v>0</v>
      </c>
      <c r="AD5" s="37" t="n">
        <v>0</v>
      </c>
      <c r="AF5" s="36" t="n">
        <v>0</v>
      </c>
      <c r="AG5" s="37" t="n">
        <v>0</v>
      </c>
      <c r="AI5" s="36" t="n">
        <v>0</v>
      </c>
      <c r="AJ5" s="37" t="n">
        <v>0</v>
      </c>
      <c r="AL5" s="36" t="n">
        <v>0</v>
      </c>
      <c r="AM5" s="37" t="n">
        <v>0</v>
      </c>
      <c r="AO5" s="36" t="inlineStr">
        <is>
          <t>-</t>
        </is>
      </c>
      <c r="AP5" s="37" t="inlineStr">
        <is>
          <t>-</t>
        </is>
      </c>
      <c r="AR5" s="36" t="n">
        <v>0</v>
      </c>
      <c r="AS5" s="37" t="n">
        <v>0</v>
      </c>
      <c r="AU5" s="36" t="n">
        <v>0</v>
      </c>
      <c r="AV5" s="37" t="n">
        <v>0</v>
      </c>
      <c r="AW5" s="37" t="n">
        <v>0</v>
      </c>
      <c r="AX5" s="37" t="n">
        <v>0</v>
      </c>
      <c r="AY5" s="37" t="n">
        <v>0</v>
      </c>
      <c r="AZ5" s="37" t="n">
        <v>0</v>
      </c>
      <c r="BA5" s="37" t="n">
        <v>0</v>
      </c>
    </row>
    <row r="6">
      <c r="A6" s="36" t="n">
        <v>0.4</v>
      </c>
      <c r="B6" s="37" t="n">
        <v>5</v>
      </c>
      <c r="D6" s="36" t="n">
        <v>0.4</v>
      </c>
      <c r="E6" s="37" t="n">
        <v>30</v>
      </c>
      <c r="G6" s="36" t="n">
        <v>0.74</v>
      </c>
      <c r="H6" s="37" t="n">
        <v>5</v>
      </c>
      <c r="J6" s="36" t="n">
        <v>0.7</v>
      </c>
      <c r="K6" s="37" t="n">
        <v>5</v>
      </c>
      <c r="M6" s="36" t="n">
        <v>0.3</v>
      </c>
      <c r="N6" s="37" t="n">
        <v>2</v>
      </c>
      <c r="P6" s="36" t="n">
        <v>0.3</v>
      </c>
      <c r="Q6" s="37" t="n">
        <v>2</v>
      </c>
      <c r="S6" s="36" t="n">
        <v>0.1</v>
      </c>
      <c r="T6" s="37" t="n">
        <v>1</v>
      </c>
      <c r="V6" s="36" t="n">
        <v>0.05</v>
      </c>
      <c r="W6" s="37" t="n">
        <v>1</v>
      </c>
      <c r="Y6" s="36" t="n">
        <v>0.6</v>
      </c>
      <c r="Z6" s="37" t="n">
        <v>1</v>
      </c>
      <c r="AB6" s="36" t="n">
        <v>0.6</v>
      </c>
      <c r="AC6" s="37" t="n">
        <v>1</v>
      </c>
      <c r="AD6" s="37" t="n">
        <v>0</v>
      </c>
      <c r="AF6" s="36" t="n">
        <v>0.35</v>
      </c>
      <c r="AG6" s="37" t="n">
        <v>2</v>
      </c>
      <c r="AI6" s="36" t="n">
        <v>0.5</v>
      </c>
      <c r="AJ6" s="37" t="n">
        <v>2</v>
      </c>
      <c r="AL6" s="36" t="n">
        <v>0.2</v>
      </c>
      <c r="AM6" s="37" t="n">
        <v>2</v>
      </c>
      <c r="AO6" s="36" t="n"/>
      <c r="AP6" s="37" t="n"/>
      <c r="AR6" s="36" t="n">
        <v>0.3</v>
      </c>
      <c r="AS6" s="37" t="n">
        <v>1</v>
      </c>
      <c r="AU6" s="36" t="n">
        <v>0.2</v>
      </c>
      <c r="AV6" s="37" t="n">
        <v>0</v>
      </c>
      <c r="AW6" s="37" t="n">
        <v>3</v>
      </c>
      <c r="AX6" s="37" t="n">
        <v>6</v>
      </c>
      <c r="AY6" s="37" t="n">
        <v>9</v>
      </c>
      <c r="AZ6" s="37" t="n">
        <v>12</v>
      </c>
      <c r="BA6" s="37" t="n">
        <v>15</v>
      </c>
    </row>
    <row r="7">
      <c r="A7" s="36" t="n">
        <v>0.55</v>
      </c>
      <c r="B7" s="37" t="n">
        <v>10</v>
      </c>
      <c r="D7" s="36" t="n">
        <v>0.45</v>
      </c>
      <c r="E7" s="37" t="n">
        <v>35</v>
      </c>
      <c r="G7" s="36" t="n">
        <v>0.76</v>
      </c>
      <c r="H7" s="37" t="n">
        <v>10</v>
      </c>
      <c r="J7" s="36" t="n">
        <v>0.75</v>
      </c>
      <c r="K7" s="37" t="n">
        <v>10</v>
      </c>
      <c r="M7" s="36" t="n">
        <v>0.45</v>
      </c>
      <c r="N7" s="37" t="n">
        <v>4</v>
      </c>
      <c r="P7" s="36" t="n">
        <v>0.45</v>
      </c>
      <c r="Q7" s="37" t="n">
        <v>4</v>
      </c>
      <c r="S7" s="36" t="n">
        <v>0.15</v>
      </c>
      <c r="T7" s="37" t="n">
        <v>2</v>
      </c>
      <c r="V7" s="36" t="n">
        <v>0.1</v>
      </c>
      <c r="W7" s="37" t="n">
        <v>2</v>
      </c>
      <c r="Y7" s="36" t="n">
        <v>0.68</v>
      </c>
      <c r="Z7" s="37" t="n">
        <v>2</v>
      </c>
      <c r="AB7" s="36" t="n">
        <v>0.8</v>
      </c>
      <c r="AC7" s="37" t="n">
        <v>2</v>
      </c>
      <c r="AD7" s="37" t="n">
        <v>1</v>
      </c>
      <c r="AF7" s="36" t="n">
        <v>0.4</v>
      </c>
      <c r="AG7" s="37" t="n">
        <v>4</v>
      </c>
      <c r="AI7" s="36" t="n">
        <v>0.55</v>
      </c>
      <c r="AJ7" s="37" t="n">
        <v>4</v>
      </c>
      <c r="AL7" s="36" t="n">
        <v>0.25</v>
      </c>
      <c r="AM7" s="37" t="n">
        <v>4</v>
      </c>
      <c r="AO7" s="36" t="n"/>
      <c r="AP7" s="37" t="n"/>
      <c r="AR7" s="36" t="n">
        <v>0.4</v>
      </c>
      <c r="AS7" s="37" t="n">
        <v>2</v>
      </c>
      <c r="AU7" s="36" t="n">
        <v>0.25</v>
      </c>
      <c r="AV7" s="37" t="n">
        <v>0</v>
      </c>
      <c r="AW7" s="37" t="n">
        <v>6</v>
      </c>
      <c r="AX7" s="37" t="n">
        <v>9</v>
      </c>
      <c r="AY7" s="37" t="n">
        <v>12</v>
      </c>
      <c r="AZ7" s="37" t="n">
        <v>15</v>
      </c>
      <c r="BA7" s="37" t="n">
        <v>18</v>
      </c>
    </row>
    <row r="8">
      <c r="A8" s="36" t="n">
        <v>0.7</v>
      </c>
      <c r="B8" s="37" t="n">
        <v>15</v>
      </c>
      <c r="D8" s="36" t="n">
        <v>0.5</v>
      </c>
      <c r="E8" s="37" t="n">
        <v>40</v>
      </c>
      <c r="G8" s="36" t="n">
        <v>0.78</v>
      </c>
      <c r="H8" s="37" t="n">
        <v>15</v>
      </c>
      <c r="J8" s="36" t="n">
        <v>0.8</v>
      </c>
      <c r="K8" s="37" t="n">
        <v>15</v>
      </c>
      <c r="M8" s="36" t="n">
        <v>0.6</v>
      </c>
      <c r="N8" s="37" t="n">
        <v>6</v>
      </c>
      <c r="P8" s="36" t="n">
        <v>0.6</v>
      </c>
      <c r="Q8" s="37" t="n">
        <v>6</v>
      </c>
      <c r="S8" s="36" t="n">
        <v>0.2</v>
      </c>
      <c r="T8" s="37" t="n">
        <v>3</v>
      </c>
      <c r="V8" s="36" t="n"/>
      <c r="W8" s="37" t="n"/>
      <c r="Y8" s="36" t="n">
        <v>0.76</v>
      </c>
      <c r="Z8" s="37" t="n">
        <v>3</v>
      </c>
      <c r="AB8" s="36" t="n">
        <v>1</v>
      </c>
      <c r="AC8" s="37" t="n">
        <v>3</v>
      </c>
      <c r="AD8" s="37" t="n">
        <v>2</v>
      </c>
      <c r="AF8" s="36" t="n">
        <v>0.45</v>
      </c>
      <c r="AG8" s="37" t="n">
        <v>6</v>
      </c>
      <c r="AI8" s="36" t="n">
        <v>0.6</v>
      </c>
      <c r="AJ8" s="37" t="n">
        <v>6</v>
      </c>
      <c r="AL8" s="36" t="n">
        <v>0.3</v>
      </c>
      <c r="AM8" s="37" t="n">
        <v>6</v>
      </c>
      <c r="AO8" s="36" t="n"/>
      <c r="AP8" s="37" t="n"/>
      <c r="AR8" s="36" t="n"/>
      <c r="AS8" s="37" t="n"/>
      <c r="AU8" s="36" t="n">
        <v>0.3</v>
      </c>
      <c r="AV8" s="37" t="n">
        <v>0</v>
      </c>
      <c r="AW8" s="37" t="n">
        <v>9</v>
      </c>
      <c r="AX8" s="37" t="n">
        <v>12</v>
      </c>
      <c r="AY8" s="37" t="n">
        <v>15</v>
      </c>
      <c r="AZ8" s="37" t="n">
        <v>18</v>
      </c>
      <c r="BA8" s="37" t="n">
        <v>21</v>
      </c>
    </row>
    <row r="9">
      <c r="A9" s="36" t="n">
        <v>0.85</v>
      </c>
      <c r="B9" s="37" t="n">
        <v>20</v>
      </c>
      <c r="D9" s="36" t="n">
        <v>0.55</v>
      </c>
      <c r="E9" s="37" t="n">
        <v>45</v>
      </c>
      <c r="G9" s="36" t="n">
        <v>0.8</v>
      </c>
      <c r="H9" s="37" t="n">
        <v>20</v>
      </c>
      <c r="J9" s="36" t="n">
        <v>0.85</v>
      </c>
      <c r="K9" s="37" t="n">
        <v>20</v>
      </c>
      <c r="M9" s="36" t="n">
        <v>0.75</v>
      </c>
      <c r="N9" s="37" t="n">
        <v>8</v>
      </c>
      <c r="P9" s="36" t="n">
        <v>0.75</v>
      </c>
      <c r="Q9" s="37" t="n">
        <v>8</v>
      </c>
      <c r="S9" s="36" t="n">
        <v>0.25</v>
      </c>
      <c r="T9" s="37" t="n">
        <v>4</v>
      </c>
      <c r="V9" s="36" t="n"/>
      <c r="W9" s="37" t="n"/>
      <c r="Y9" s="36" t="n">
        <v>0.84</v>
      </c>
      <c r="Z9" s="37" t="n">
        <v>4</v>
      </c>
      <c r="AB9" s="36" t="n">
        <v>1.2</v>
      </c>
      <c r="AC9" s="37" t="n">
        <v>4</v>
      </c>
      <c r="AD9" s="37" t="n">
        <v>2</v>
      </c>
      <c r="AF9" s="36" t="n">
        <v>0.5</v>
      </c>
      <c r="AG9" s="37" t="n">
        <v>8</v>
      </c>
      <c r="AI9" s="36" t="n">
        <v>0.65</v>
      </c>
      <c r="AJ9" s="37" t="n">
        <v>8</v>
      </c>
      <c r="AL9" s="36" t="n">
        <v>0.35</v>
      </c>
      <c r="AM9" s="37" t="n">
        <v>8</v>
      </c>
      <c r="AO9" s="36" t="n"/>
      <c r="AP9" s="37" t="n"/>
      <c r="AR9" s="36" t="n"/>
      <c r="AS9" s="37" t="n"/>
      <c r="AU9" s="36" t="n">
        <v>0.35</v>
      </c>
      <c r="AV9" s="37" t="n">
        <v>0</v>
      </c>
      <c r="AW9" s="37" t="n">
        <v>12</v>
      </c>
      <c r="AX9" s="37" t="n">
        <v>15</v>
      </c>
      <c r="AY9" s="37" t="n">
        <v>18</v>
      </c>
      <c r="AZ9" s="37" t="n">
        <v>21</v>
      </c>
      <c r="BA9" s="37" t="n">
        <v>27</v>
      </c>
    </row>
    <row r="10">
      <c r="A10" s="36" t="n">
        <v>1</v>
      </c>
      <c r="B10" s="37" t="n">
        <v>25</v>
      </c>
      <c r="D10" s="36" t="n">
        <v>0.6</v>
      </c>
      <c r="E10" s="37" t="n">
        <v>50</v>
      </c>
      <c r="G10" s="36" t="n">
        <v>0.82</v>
      </c>
      <c r="H10" s="37" t="n">
        <v>25</v>
      </c>
      <c r="J10" s="36" t="n">
        <v>0.9</v>
      </c>
      <c r="K10" s="37" t="n">
        <v>25</v>
      </c>
      <c r="M10" s="36" t="n">
        <v>0.9</v>
      </c>
      <c r="N10" s="37" t="n">
        <v>10</v>
      </c>
      <c r="P10" s="36" t="n">
        <v>0.9</v>
      </c>
      <c r="Q10" s="37" t="n">
        <v>10</v>
      </c>
      <c r="S10" s="36" t="n">
        <v>0.3</v>
      </c>
      <c r="T10" s="37" t="n">
        <v>5</v>
      </c>
      <c r="V10" s="36" t="n"/>
      <c r="W10" s="37" t="n"/>
      <c r="Y10" s="36" t="n">
        <v>0.92</v>
      </c>
      <c r="Z10" s="37" t="n">
        <v>5</v>
      </c>
      <c r="AB10" s="36" t="n"/>
      <c r="AC10" s="37" t="n"/>
      <c r="AD10" s="37" t="n"/>
      <c r="AF10" s="36" t="n">
        <v>0.55</v>
      </c>
      <c r="AG10" s="37" t="n">
        <v>10</v>
      </c>
      <c r="AI10" s="36" t="n">
        <v>0.7</v>
      </c>
      <c r="AJ10" s="37" t="n">
        <v>10</v>
      </c>
      <c r="AL10" s="36" t="n">
        <v>0.4</v>
      </c>
      <c r="AM10" s="37" t="n">
        <v>10</v>
      </c>
      <c r="AO10" s="36" t="n"/>
      <c r="AP10" s="37" t="n"/>
      <c r="AR10" s="36" t="n"/>
      <c r="AS10" s="37" t="n"/>
      <c r="AU10" s="36" t="n">
        <v>0.4</v>
      </c>
      <c r="AV10" s="37" t="n">
        <v>0</v>
      </c>
      <c r="AW10" s="37" t="n">
        <v>15</v>
      </c>
      <c r="AX10" s="37" t="n">
        <v>18</v>
      </c>
      <c r="AY10" s="37" t="n">
        <v>21</v>
      </c>
      <c r="AZ10" s="37" t="n">
        <v>27</v>
      </c>
      <c r="BA10" s="37" t="n">
        <v>30</v>
      </c>
    </row>
    <row r="11">
      <c r="A11" s="36" t="n">
        <v>1.15</v>
      </c>
      <c r="B11" s="37" t="n">
        <v>30</v>
      </c>
      <c r="D11" s="36" t="n">
        <v>0.65</v>
      </c>
      <c r="E11" s="37" t="n">
        <v>55</v>
      </c>
      <c r="G11" s="36" t="n">
        <v>0.84</v>
      </c>
      <c r="H11" s="37" t="n">
        <v>30</v>
      </c>
      <c r="J11" s="36" t="n">
        <v>0.95</v>
      </c>
      <c r="K11" s="37" t="n">
        <v>30</v>
      </c>
      <c r="M11" s="36" t="n">
        <v>1.05</v>
      </c>
      <c r="N11" s="37" t="n">
        <v>12</v>
      </c>
      <c r="P11" s="36" t="n">
        <v>1.05</v>
      </c>
      <c r="Q11" s="37" t="n">
        <v>12</v>
      </c>
      <c r="S11" s="36" t="n">
        <v>0.35</v>
      </c>
      <c r="T11" s="37" t="n">
        <v>6</v>
      </c>
      <c r="V11" s="36" t="n"/>
      <c r="W11" s="37" t="n"/>
      <c r="Y11" s="36" t="n">
        <v>1</v>
      </c>
      <c r="Z11" s="37" t="n">
        <v>6</v>
      </c>
      <c r="AB11" s="36" t="n"/>
      <c r="AC11" s="37" t="n"/>
      <c r="AD11" s="37" t="n"/>
      <c r="AF11" s="36" t="n"/>
      <c r="AG11" s="37" t="n"/>
      <c r="AI11" s="36" t="n"/>
      <c r="AJ11" s="37" t="n"/>
      <c r="AL11" s="36" t="n"/>
      <c r="AM11" s="37" t="n"/>
      <c r="AO11" s="36" t="n"/>
      <c r="AP11" s="37" t="n"/>
      <c r="AR11" s="36" t="n"/>
      <c r="AS11" s="37" t="n"/>
    </row>
    <row r="12">
      <c r="A12" s="36" t="n">
        <v>1.3</v>
      </c>
      <c r="B12" s="37" t="n">
        <v>35</v>
      </c>
      <c r="D12" s="36" t="n">
        <v>0.7</v>
      </c>
      <c r="E12" s="37" t="n">
        <v>60</v>
      </c>
      <c r="G12" s="36" t="n">
        <v>0.86</v>
      </c>
      <c r="H12" s="37" t="n">
        <v>35</v>
      </c>
      <c r="J12" s="36" t="n">
        <v>1</v>
      </c>
      <c r="K12" s="37" t="n">
        <v>35</v>
      </c>
      <c r="M12" s="36" t="n">
        <v>1.2</v>
      </c>
      <c r="N12" s="37" t="n">
        <v>14</v>
      </c>
      <c r="P12" s="36" t="n">
        <v>1.2</v>
      </c>
      <c r="Q12" s="37" t="n">
        <v>14</v>
      </c>
      <c r="S12" s="36" t="n"/>
      <c r="T12" s="37" t="n"/>
      <c r="V12" s="36" t="n"/>
      <c r="W12" s="37" t="n"/>
      <c r="Y12" s="36" t="n">
        <v>1.08</v>
      </c>
      <c r="Z12" s="37" t="n">
        <v>7</v>
      </c>
      <c r="AB12" s="36" t="n"/>
      <c r="AC12" s="37" t="n"/>
      <c r="AD12" s="37" t="n"/>
      <c r="AF12" s="36" t="n"/>
      <c r="AG12" s="37" t="n"/>
      <c r="AI12" s="36" t="n"/>
      <c r="AJ12" s="37" t="n"/>
      <c r="AL12" s="36" t="n"/>
      <c r="AM12" s="37" t="n"/>
      <c r="AO12" s="36" t="n"/>
      <c r="AP12" s="37" t="n"/>
      <c r="AR12" s="36" t="n"/>
      <c r="AS12" s="37" t="n"/>
    </row>
    <row r="13">
      <c r="A13" s="36" t="n">
        <v>1.45</v>
      </c>
      <c r="B13" s="37" t="n">
        <v>40</v>
      </c>
      <c r="D13" s="36" t="n">
        <v>0.75</v>
      </c>
      <c r="E13" s="37" t="n">
        <v>65</v>
      </c>
      <c r="G13" s="36" t="n">
        <v>0.88</v>
      </c>
      <c r="H13" s="37" t="n">
        <v>40</v>
      </c>
      <c r="J13" s="36" t="n">
        <v>1.05</v>
      </c>
      <c r="K13" s="37" t="n">
        <v>40</v>
      </c>
      <c r="M13" s="36" t="n">
        <v>1.35</v>
      </c>
      <c r="N13" s="37" t="n">
        <v>16</v>
      </c>
      <c r="P13" s="36" t="n">
        <v>1.35</v>
      </c>
      <c r="Q13" s="37" t="n">
        <v>16</v>
      </c>
      <c r="S13" s="36" t="n"/>
      <c r="T13" s="37" t="n"/>
      <c r="V13" s="36" t="n"/>
      <c r="W13" s="37" t="n"/>
      <c r="Y13" s="36" t="n">
        <v>1.16</v>
      </c>
      <c r="Z13" s="37" t="n">
        <v>8</v>
      </c>
      <c r="AB13" s="36" t="n"/>
      <c r="AC13" s="37" t="n"/>
      <c r="AD13" s="37" t="n"/>
      <c r="AF13" s="36" t="n"/>
      <c r="AG13" s="37" t="n"/>
      <c r="AI13" s="36" t="n"/>
      <c r="AJ13" s="37" t="n"/>
      <c r="AL13" s="36" t="n"/>
      <c r="AM13" s="37" t="n"/>
      <c r="AO13" s="36" t="n"/>
      <c r="AP13" s="37" t="n"/>
      <c r="AR13" s="36" t="n"/>
      <c r="AS13" s="37" t="n"/>
    </row>
    <row r="14">
      <c r="A14" s="36" t="n"/>
      <c r="B14" s="37" t="n"/>
      <c r="D14" s="36" t="n">
        <v>0.8</v>
      </c>
      <c r="E14" s="37" t="n">
        <v>70</v>
      </c>
      <c r="G14" s="36" t="n">
        <v>0.9</v>
      </c>
      <c r="H14" s="37" t="n">
        <v>45</v>
      </c>
      <c r="J14" s="36" t="n">
        <v>1.1</v>
      </c>
      <c r="K14" s="37" t="n">
        <v>45</v>
      </c>
      <c r="M14" s="36" t="n">
        <v>1.5</v>
      </c>
      <c r="N14" s="37" t="n">
        <v>18</v>
      </c>
      <c r="P14" s="36" t="n">
        <v>1.5</v>
      </c>
      <c r="Q14" s="37" t="n">
        <v>18</v>
      </c>
      <c r="S14" s="36" t="n"/>
      <c r="T14" s="37" t="n"/>
      <c r="V14" s="36" t="n"/>
      <c r="W14" s="37" t="n"/>
      <c r="Y14" s="36" t="n"/>
      <c r="Z14" s="37" t="n"/>
      <c r="AB14" s="36" t="n"/>
      <c r="AC14" s="37" t="n"/>
      <c r="AD14" s="37" t="n"/>
      <c r="AF14" s="36" t="n"/>
      <c r="AG14" s="37" t="n"/>
      <c r="AI14" s="36" t="n"/>
      <c r="AJ14" s="37" t="n"/>
      <c r="AL14" s="36" t="n"/>
      <c r="AM14" s="37" t="n"/>
      <c r="AO14" s="36" t="n"/>
      <c r="AP14" s="37" t="n"/>
      <c r="AR14" s="36" t="n"/>
      <c r="AS14" s="37" t="n"/>
    </row>
    <row r="15">
      <c r="A15" s="36" t="n"/>
      <c r="B15" s="37" t="n"/>
      <c r="D15" s="36" t="n">
        <v>0.85</v>
      </c>
      <c r="E15" s="37" t="n">
        <v>75</v>
      </c>
      <c r="G15" s="36" t="n">
        <v>0.92</v>
      </c>
      <c r="H15" s="37" t="n">
        <v>50</v>
      </c>
      <c r="J15" s="36" t="n">
        <v>1.15</v>
      </c>
      <c r="K15" s="37" t="n">
        <v>50</v>
      </c>
      <c r="M15" s="36" t="n">
        <v>1.65</v>
      </c>
      <c r="N15" s="37" t="n">
        <v>20</v>
      </c>
      <c r="P15" s="36" t="n">
        <v>1.65</v>
      </c>
      <c r="Q15" s="37" t="n">
        <v>20</v>
      </c>
      <c r="S15" s="36" t="n"/>
      <c r="T15" s="37" t="n"/>
      <c r="V15" s="36" t="n"/>
      <c r="W15" s="37" t="n"/>
      <c r="Y15" s="36" t="n"/>
      <c r="Z15" s="37" t="n"/>
      <c r="AB15" s="36" t="n"/>
      <c r="AC15" s="37" t="n"/>
      <c r="AD15" s="37" t="n"/>
      <c r="AF15" s="36" t="n"/>
      <c r="AG15" s="37" t="n"/>
      <c r="AI15" s="36" t="n"/>
      <c r="AJ15" s="37" t="n"/>
      <c r="AL15" s="36" t="n"/>
      <c r="AM15" s="37" t="n"/>
      <c r="AO15" s="36" t="n"/>
      <c r="AP15" s="37" t="n"/>
      <c r="AR15" s="36" t="n"/>
      <c r="AS15" s="37" t="n"/>
    </row>
    <row r="16">
      <c r="A16" s="36" t="n"/>
      <c r="B16" s="37" t="n"/>
      <c r="D16" s="36" t="n">
        <v>0.9</v>
      </c>
      <c r="E16" s="37" t="n">
        <v>80</v>
      </c>
      <c r="G16" s="36" t="n">
        <v>0.9399999999999999</v>
      </c>
      <c r="H16" s="37" t="n">
        <v>55</v>
      </c>
      <c r="J16" s="36" t="n">
        <v>1.2</v>
      </c>
      <c r="K16" s="37" t="n">
        <v>55</v>
      </c>
      <c r="M16" s="36" t="n"/>
      <c r="N16" s="37" t="n"/>
      <c r="P16" s="36" t="n"/>
      <c r="Q16" s="37" t="n"/>
      <c r="S16" s="36" t="n"/>
      <c r="T16" s="37" t="n"/>
      <c r="V16" s="36" t="n"/>
      <c r="W16" s="37" t="n"/>
      <c r="Y16" s="36" t="n"/>
      <c r="Z16" s="37" t="n"/>
      <c r="AB16" s="36" t="n"/>
      <c r="AC16" s="37" t="n"/>
      <c r="AD16" s="37" t="n"/>
      <c r="AF16" s="36" t="n"/>
      <c r="AG16" s="37" t="n"/>
      <c r="AI16" s="36" t="n"/>
      <c r="AJ16" s="37" t="n"/>
      <c r="AL16" s="36" t="n"/>
      <c r="AM16" s="37" t="n"/>
      <c r="AO16" s="36" t="n"/>
      <c r="AP16" s="37" t="n"/>
      <c r="AR16" s="36" t="n"/>
      <c r="AS16" s="37" t="n"/>
    </row>
    <row r="17">
      <c r="A17" s="36" t="n"/>
      <c r="B17" s="37" t="n"/>
      <c r="D17" s="36" t="n">
        <v>0.95</v>
      </c>
      <c r="E17" s="37" t="n">
        <v>85</v>
      </c>
      <c r="G17" s="36" t="n">
        <v>0.96</v>
      </c>
      <c r="H17" s="37" t="n">
        <v>60</v>
      </c>
      <c r="J17" s="36" t="n">
        <v>1.25</v>
      </c>
      <c r="K17" s="37" t="n">
        <v>60</v>
      </c>
      <c r="M17" s="36" t="n"/>
      <c r="N17" s="37" t="n"/>
      <c r="P17" s="36" t="n"/>
      <c r="Q17" s="37" t="n"/>
      <c r="S17" s="36" t="n"/>
      <c r="T17" s="37" t="n"/>
      <c r="V17" s="36" t="n"/>
      <c r="W17" s="37" t="n"/>
      <c r="Y17" s="36" t="n"/>
      <c r="Z17" s="37" t="n"/>
      <c r="AB17" s="36" t="n"/>
      <c r="AC17" s="37" t="n"/>
      <c r="AD17" s="37" t="n"/>
      <c r="AF17" s="36" t="n"/>
      <c r="AG17" s="37" t="n"/>
      <c r="AI17" s="36" t="n"/>
      <c r="AJ17" s="37" t="n"/>
      <c r="AL17" s="36" t="n"/>
      <c r="AM17" s="37" t="n"/>
      <c r="AO17" s="36" t="n"/>
      <c r="AP17" s="37" t="n"/>
      <c r="AR17" s="36" t="n"/>
      <c r="AS17" s="37" t="n"/>
    </row>
    <row r="18">
      <c r="A18" s="36" t="n"/>
      <c r="B18" s="37" t="n"/>
      <c r="D18" s="36" t="n">
        <v>1</v>
      </c>
      <c r="E18" s="37" t="n">
        <v>90</v>
      </c>
      <c r="G18" s="36" t="n">
        <v>0.98</v>
      </c>
      <c r="H18" s="37" t="n">
        <v>65</v>
      </c>
      <c r="J18" s="36" t="n">
        <v>1.3</v>
      </c>
      <c r="K18" s="37" t="n">
        <v>65</v>
      </c>
      <c r="M18" s="36" t="n"/>
      <c r="N18" s="37" t="n"/>
      <c r="P18" s="36" t="n"/>
      <c r="Q18" s="37" t="n"/>
      <c r="S18" s="36" t="n"/>
      <c r="T18" s="37" t="n"/>
      <c r="V18" s="36" t="n"/>
      <c r="W18" s="37" t="n"/>
      <c r="Y18" s="36" t="n"/>
      <c r="Z18" s="37" t="n"/>
      <c r="AB18" s="36" t="n"/>
      <c r="AC18" s="37" t="n"/>
      <c r="AD18" s="37" t="n"/>
      <c r="AF18" s="36" t="n"/>
      <c r="AG18" s="37" t="n"/>
      <c r="AI18" s="36" t="n"/>
      <c r="AJ18" s="37" t="n"/>
      <c r="AL18" s="36" t="n"/>
      <c r="AM18" s="37" t="n"/>
      <c r="AO18" s="36" t="n"/>
      <c r="AP18" s="37" t="n"/>
      <c r="AR18" s="36" t="n"/>
      <c r="AS18" s="37" t="n"/>
    </row>
    <row r="19">
      <c r="A19" s="36" t="n"/>
      <c r="B19" s="37" t="n"/>
      <c r="D19" s="36" t="n">
        <v>1.05</v>
      </c>
      <c r="E19" s="37" t="n">
        <v>95</v>
      </c>
      <c r="G19" s="36" t="n">
        <v>1</v>
      </c>
      <c r="H19" s="37" t="n">
        <v>70</v>
      </c>
      <c r="J19" s="36" t="n">
        <v>1.35</v>
      </c>
      <c r="K19" s="37" t="n">
        <v>70</v>
      </c>
      <c r="M19" s="36" t="n"/>
      <c r="N19" s="37" t="n"/>
      <c r="P19" s="36" t="n"/>
      <c r="Q19" s="37" t="n"/>
      <c r="S19" s="36" t="n"/>
      <c r="T19" s="37" t="n"/>
      <c r="V19" s="36" t="n"/>
      <c r="W19" s="37" t="n"/>
      <c r="Y19" s="36" t="n"/>
      <c r="Z19" s="37" t="n"/>
      <c r="AB19" s="36" t="n"/>
      <c r="AC19" s="37" t="n"/>
      <c r="AD19" s="37" t="n"/>
      <c r="AF19" s="36" t="n"/>
      <c r="AG19" s="37" t="n"/>
      <c r="AI19" s="36" t="n"/>
      <c r="AJ19" s="37" t="n"/>
      <c r="AL19" s="36" t="n"/>
      <c r="AM19" s="37" t="n"/>
      <c r="AO19" s="36" t="n"/>
      <c r="AP19" s="37" t="n"/>
      <c r="AR19" s="36" t="n"/>
      <c r="AS19" s="37" t="n"/>
    </row>
    <row r="20">
      <c r="A20" s="36" t="n"/>
      <c r="B20" s="37" t="n"/>
      <c r="D20" s="36" t="n">
        <v>1.1</v>
      </c>
      <c r="E20" s="37" t="n">
        <v>100</v>
      </c>
      <c r="G20" s="36" t="n">
        <v>1.02</v>
      </c>
      <c r="H20" s="37" t="n">
        <v>75</v>
      </c>
      <c r="J20" s="36" t="n">
        <v>1.4</v>
      </c>
      <c r="K20" s="37" t="n">
        <v>75</v>
      </c>
      <c r="M20" s="36" t="n"/>
      <c r="N20" s="37" t="n"/>
      <c r="P20" s="36" t="n"/>
      <c r="Q20" s="37" t="n"/>
      <c r="S20" s="36" t="n"/>
      <c r="T20" s="37" t="n"/>
      <c r="V20" s="36" t="n"/>
      <c r="W20" s="37" t="n"/>
      <c r="Y20" s="36" t="n"/>
      <c r="Z20" s="37" t="n"/>
      <c r="AB20" s="36" t="n"/>
      <c r="AC20" s="37" t="n"/>
      <c r="AD20" s="37" t="n"/>
      <c r="AF20" s="36" t="n"/>
      <c r="AG20" s="37" t="n"/>
      <c r="AI20" s="36" t="n"/>
      <c r="AJ20" s="37" t="n"/>
      <c r="AL20" s="36" t="n"/>
      <c r="AM20" s="37" t="n"/>
      <c r="AO20" s="36" t="n"/>
      <c r="AP20" s="37" t="n"/>
      <c r="AR20" s="36" t="n"/>
      <c r="AS20" s="37" t="n"/>
    </row>
    <row r="21">
      <c r="A21" s="36" t="n"/>
      <c r="B21" s="37" t="n"/>
      <c r="D21" s="36" t="n">
        <v>1.15</v>
      </c>
      <c r="E21" s="37" t="n">
        <v>105</v>
      </c>
      <c r="G21" s="36" t="n">
        <v>1.04</v>
      </c>
      <c r="H21" s="37" t="n">
        <v>80</v>
      </c>
      <c r="J21" s="36" t="n">
        <v>1.45</v>
      </c>
      <c r="K21" s="37" t="n">
        <v>80</v>
      </c>
      <c r="M21" s="36" t="n"/>
      <c r="N21" s="37" t="n"/>
      <c r="P21" s="36" t="n"/>
      <c r="Q21" s="37" t="n"/>
      <c r="S21" s="36" t="n"/>
      <c r="T21" s="37" t="n"/>
      <c r="V21" s="36" t="n"/>
      <c r="W21" s="37" t="n"/>
      <c r="Y21" s="36" t="n"/>
      <c r="Z21" s="37" t="n"/>
      <c r="AB21" s="36" t="n"/>
      <c r="AC21" s="37" t="n"/>
      <c r="AD21" s="37" t="n"/>
      <c r="AF21" s="36" t="n"/>
      <c r="AG21" s="37" t="n"/>
      <c r="AI21" s="36" t="n"/>
      <c r="AJ21" s="37" t="n"/>
      <c r="AL21" s="36" t="n"/>
      <c r="AM21" s="37" t="n"/>
      <c r="AO21" s="36" t="n"/>
      <c r="AP21" s="37" t="n"/>
      <c r="AR21" s="36" t="n"/>
      <c r="AS21" s="37" t="n"/>
    </row>
    <row r="22">
      <c r="A22" s="36" t="n"/>
      <c r="B22" s="37" t="n"/>
      <c r="D22" s="36" t="n">
        <v>1.2</v>
      </c>
      <c r="E22" s="37" t="n">
        <v>110</v>
      </c>
      <c r="G22" s="36" t="n">
        <v>1.06</v>
      </c>
      <c r="H22" s="37" t="n">
        <v>85</v>
      </c>
      <c r="J22" s="36" t="n"/>
      <c r="K22" s="37" t="n"/>
      <c r="M22" s="36" t="n"/>
      <c r="N22" s="37" t="n"/>
      <c r="P22" s="36" t="n"/>
      <c r="Q22" s="37" t="n"/>
      <c r="S22" s="36" t="n"/>
      <c r="T22" s="37" t="n"/>
      <c r="V22" s="36" t="n"/>
      <c r="W22" s="37" t="n"/>
      <c r="Y22" s="36" t="n"/>
      <c r="Z22" s="37" t="n"/>
      <c r="AB22" s="36" t="n"/>
      <c r="AC22" s="37" t="n"/>
      <c r="AD22" s="37" t="n"/>
      <c r="AF22" s="36" t="n"/>
      <c r="AG22" s="37" t="n"/>
      <c r="AI22" s="36" t="n"/>
      <c r="AJ22" s="37" t="n"/>
      <c r="AL22" s="36" t="n"/>
      <c r="AM22" s="37" t="n"/>
      <c r="AO22" s="36" t="n"/>
      <c r="AP22" s="37" t="n"/>
      <c r="AR22" s="36" t="n"/>
      <c r="AS22" s="37" t="n"/>
    </row>
    <row r="23">
      <c r="A23" s="36" t="n"/>
      <c r="B23" s="37" t="n"/>
      <c r="D23" s="36" t="n">
        <v>1.25</v>
      </c>
      <c r="E23" s="37" t="n">
        <v>115</v>
      </c>
      <c r="G23" s="36" t="n">
        <v>1.08</v>
      </c>
      <c r="H23" s="37" t="n">
        <v>90</v>
      </c>
      <c r="J23" s="36" t="n"/>
      <c r="K23" s="37" t="n"/>
      <c r="M23" s="36" t="n"/>
      <c r="N23" s="37" t="n"/>
      <c r="P23" s="36" t="n"/>
      <c r="Q23" s="37" t="n"/>
      <c r="S23" s="36" t="n"/>
      <c r="T23" s="37" t="n"/>
      <c r="V23" s="36" t="n"/>
      <c r="W23" s="37" t="n"/>
      <c r="Y23" s="36" t="n"/>
      <c r="Z23" s="37" t="n"/>
      <c r="AB23" s="36" t="n"/>
      <c r="AC23" s="37" t="n"/>
      <c r="AD23" s="37" t="n"/>
      <c r="AF23" s="36" t="n"/>
      <c r="AG23" s="37" t="n"/>
      <c r="AI23" s="36" t="n"/>
      <c r="AJ23" s="37" t="n"/>
      <c r="AL23" s="36" t="n"/>
      <c r="AM23" s="37" t="n"/>
      <c r="AO23" s="36" t="n"/>
      <c r="AP23" s="37" t="n"/>
      <c r="AR23" s="36" t="n"/>
      <c r="AS23" s="37" t="n"/>
    </row>
    <row r="24">
      <c r="A24" s="36" t="n"/>
      <c r="B24" s="37" t="n"/>
      <c r="D24" s="36" t="n">
        <v>1.3</v>
      </c>
      <c r="E24" s="37" t="n">
        <v>120</v>
      </c>
      <c r="G24" s="36" t="n">
        <v>1.1</v>
      </c>
      <c r="H24" s="37" t="n">
        <v>95</v>
      </c>
      <c r="J24" s="36" t="n"/>
      <c r="K24" s="37" t="n"/>
      <c r="M24" s="36" t="n"/>
      <c r="N24" s="37" t="n"/>
      <c r="P24" s="36" t="n"/>
      <c r="Q24" s="37" t="n"/>
      <c r="S24" s="36" t="n"/>
      <c r="T24" s="37" t="n"/>
      <c r="V24" s="36" t="n"/>
      <c r="W24" s="37" t="n"/>
      <c r="Y24" s="36" t="n"/>
      <c r="Z24" s="37" t="n"/>
      <c r="AB24" s="36" t="n"/>
      <c r="AC24" s="37" t="n"/>
      <c r="AD24" s="37" t="n"/>
      <c r="AF24" s="36" t="n"/>
      <c r="AG24" s="37" t="n"/>
      <c r="AI24" s="36" t="n"/>
      <c r="AJ24" s="37" t="n"/>
      <c r="AL24" s="36" t="n"/>
      <c r="AM24" s="37" t="n"/>
      <c r="AO24" s="36" t="n"/>
      <c r="AP24" s="37" t="n"/>
      <c r="AR24" s="36" t="n"/>
      <c r="AS24" s="37" t="n"/>
    </row>
    <row r="25">
      <c r="A25" s="36" t="n"/>
      <c r="B25" s="37" t="n"/>
      <c r="D25" s="36" t="n">
        <v>1.35</v>
      </c>
      <c r="E25" s="37" t="n">
        <v>125</v>
      </c>
      <c r="G25" s="36" t="n">
        <v>1.12</v>
      </c>
      <c r="H25" s="37" t="n">
        <v>100</v>
      </c>
      <c r="J25" s="36" t="n"/>
      <c r="K25" s="37" t="n"/>
      <c r="M25" s="36" t="n"/>
      <c r="N25" s="37" t="n"/>
      <c r="P25" s="36" t="n"/>
      <c r="Q25" s="37" t="n"/>
      <c r="S25" s="36" t="n"/>
      <c r="T25" s="37" t="n"/>
      <c r="V25" s="36" t="n"/>
      <c r="W25" s="37" t="n"/>
      <c r="Y25" s="36" t="n"/>
      <c r="Z25" s="37" t="n"/>
      <c r="AB25" s="36" t="n"/>
      <c r="AC25" s="37" t="n"/>
      <c r="AD25" s="37" t="n"/>
      <c r="AF25" s="36" t="n"/>
      <c r="AG25" s="37" t="n"/>
      <c r="AI25" s="36" t="n"/>
      <c r="AJ25" s="37" t="n"/>
      <c r="AL25" s="36" t="n"/>
      <c r="AM25" s="37" t="n"/>
      <c r="AO25" s="36" t="n"/>
      <c r="AP25" s="37" t="n"/>
      <c r="AR25" s="36" t="n"/>
      <c r="AS25" s="37" t="n"/>
    </row>
    <row r="26">
      <c r="A26" s="36" t="n"/>
      <c r="B26" s="37" t="n"/>
      <c r="D26" s="36" t="n">
        <v>1.4</v>
      </c>
      <c r="E26" s="37" t="n">
        <v>130</v>
      </c>
      <c r="G26" s="36" t="n">
        <v>1.14</v>
      </c>
      <c r="H26" s="37" t="n">
        <v>105</v>
      </c>
      <c r="J26" s="36" t="n"/>
      <c r="K26" s="37" t="n"/>
      <c r="M26" s="36" t="n"/>
      <c r="N26" s="37" t="n"/>
      <c r="P26" s="36" t="n"/>
      <c r="Q26" s="37" t="n"/>
      <c r="S26" s="36" t="n"/>
      <c r="T26" s="37" t="n"/>
      <c r="V26" s="36" t="n"/>
      <c r="W26" s="37" t="n"/>
      <c r="Y26" s="36" t="n"/>
      <c r="Z26" s="37" t="n"/>
      <c r="AB26" s="36" t="n"/>
      <c r="AC26" s="37" t="n"/>
      <c r="AD26" s="37" t="n"/>
      <c r="AF26" s="36" t="n"/>
      <c r="AG26" s="37" t="n"/>
      <c r="AI26" s="36" t="n"/>
      <c r="AJ26" s="37" t="n"/>
      <c r="AL26" s="36" t="n"/>
      <c r="AM26" s="37" t="n"/>
      <c r="AO26" s="36" t="n"/>
      <c r="AP26" s="37" t="n"/>
      <c r="AR26" s="36" t="n"/>
      <c r="AS26" s="37" t="n"/>
    </row>
    <row r="27">
      <c r="A27" s="36" t="n"/>
      <c r="B27" s="37" t="n"/>
      <c r="D27" s="36" t="n"/>
      <c r="E27" s="37" t="n"/>
      <c r="G27" s="36" t="n">
        <v>1.16</v>
      </c>
      <c r="H27" s="37" t="n">
        <v>110</v>
      </c>
      <c r="J27" s="36" t="n"/>
      <c r="K27" s="37" t="n"/>
      <c r="M27" s="36" t="n"/>
      <c r="N27" s="37" t="n"/>
      <c r="P27" s="36" t="n"/>
      <c r="Q27" s="37" t="n"/>
      <c r="S27" s="36" t="n"/>
      <c r="T27" s="37" t="n"/>
      <c r="V27" s="36" t="n"/>
      <c r="W27" s="37" t="n"/>
      <c r="Y27" s="36" t="n"/>
      <c r="Z27" s="37" t="n"/>
      <c r="AB27" s="36" t="n"/>
      <c r="AC27" s="37" t="n"/>
      <c r="AD27" s="37" t="n"/>
      <c r="AF27" s="36" t="n"/>
      <c r="AG27" s="37" t="n"/>
      <c r="AI27" s="36" t="n"/>
      <c r="AJ27" s="37" t="n"/>
      <c r="AL27" s="36" t="n"/>
      <c r="AM27" s="37" t="n"/>
      <c r="AO27" s="36" t="n"/>
      <c r="AP27" s="37" t="n"/>
      <c r="AR27" s="36" t="n"/>
      <c r="AS27" s="37" t="n"/>
    </row>
    <row r="28">
      <c r="A28" s="36" t="n"/>
      <c r="B28" s="37" t="n"/>
      <c r="D28" s="36" t="n"/>
      <c r="E28" s="37" t="n"/>
      <c r="G28" s="36" t="n"/>
      <c r="H28" s="37" t="n"/>
      <c r="J28" s="36" t="n"/>
      <c r="K28" s="37" t="n"/>
      <c r="M28" s="36" t="n"/>
      <c r="N28" s="37" t="n"/>
      <c r="P28" s="36" t="n"/>
      <c r="Q28" s="37" t="n"/>
      <c r="S28" s="36" t="n"/>
      <c r="T28" s="37" t="n"/>
      <c r="V28" s="36" t="n"/>
      <c r="W28" s="37" t="n"/>
      <c r="Y28" s="36" t="n"/>
      <c r="Z28" s="37" t="n"/>
      <c r="AB28" s="36" t="n"/>
      <c r="AC28" s="37" t="n"/>
      <c r="AD28" s="37" t="n"/>
      <c r="AF28" s="36" t="n"/>
      <c r="AG28" s="37" t="n"/>
      <c r="AI28" s="36" t="n"/>
      <c r="AJ28" s="37" t="n"/>
      <c r="AL28" s="36" t="n"/>
      <c r="AM28" s="37" t="n"/>
      <c r="AO28" s="36" t="n"/>
      <c r="AP28" s="37" t="n"/>
      <c r="AR28" s="36" t="n"/>
      <c r="AS28" s="37" t="n"/>
    </row>
    <row r="29">
      <c r="A29" s="36" t="n"/>
      <c r="B29" s="37" t="n"/>
      <c r="D29" s="36" t="n"/>
      <c r="E29" s="37" t="n"/>
      <c r="G29" s="36" t="n"/>
      <c r="H29" s="37" t="n"/>
      <c r="J29" s="36" t="n"/>
      <c r="K29" s="37" t="n"/>
      <c r="M29" s="36" t="n"/>
      <c r="N29" s="37" t="n"/>
      <c r="P29" s="36" t="n"/>
      <c r="Q29" s="37" t="n"/>
      <c r="S29" s="36" t="n"/>
      <c r="T29" s="37" t="n"/>
      <c r="V29" s="36" t="n"/>
      <c r="W29" s="37" t="n"/>
      <c r="Y29" s="36" t="n"/>
      <c r="Z29" s="37" t="n"/>
      <c r="AB29" s="36" t="n"/>
      <c r="AC29" s="37" t="n"/>
      <c r="AD29" s="37" t="n"/>
      <c r="AF29" s="36" t="n"/>
      <c r="AG29" s="37" t="n"/>
      <c r="AI29" s="36" t="n"/>
      <c r="AJ29" s="37" t="n"/>
      <c r="AL29" s="36" t="n"/>
      <c r="AM29" s="37" t="n"/>
      <c r="AO29" s="36" t="n"/>
      <c r="AP29" s="37" t="n"/>
      <c r="AR29" s="36" t="n"/>
      <c r="AS29" s="37" t="n"/>
    </row>
    <row r="30">
      <c r="A30" s="36" t="n"/>
      <c r="B30" s="37" t="n"/>
      <c r="D30" s="36" t="n"/>
      <c r="E30" s="37" t="n"/>
      <c r="G30" s="36" t="n"/>
      <c r="H30" s="37" t="n"/>
      <c r="J30" s="36" t="n"/>
      <c r="K30" s="37" t="n"/>
      <c r="M30" s="36" t="n"/>
      <c r="N30" s="37" t="n"/>
      <c r="P30" s="36" t="n"/>
      <c r="Q30" s="37" t="n"/>
      <c r="S30" s="36" t="n"/>
      <c r="T30" s="37" t="n"/>
      <c r="V30" s="36" t="n"/>
      <c r="W30" s="37" t="n"/>
      <c r="Y30" s="36" t="n"/>
      <c r="Z30" s="37" t="n"/>
      <c r="AB30" s="36" t="n"/>
      <c r="AC30" s="37" t="n"/>
      <c r="AD30" s="37" t="n"/>
      <c r="AF30" s="36" t="n"/>
      <c r="AG30" s="37" t="n"/>
      <c r="AI30" s="36" t="n"/>
      <c r="AJ30" s="37" t="n"/>
      <c r="AL30" s="36" t="n"/>
      <c r="AM30" s="37" t="n"/>
      <c r="AO30" s="36" t="n"/>
      <c r="AP30" s="37" t="n"/>
      <c r="AR30" s="36" t="n"/>
      <c r="AS30" s="37" t="n"/>
    </row>
    <row r="31">
      <c r="A31" s="36" t="n"/>
      <c r="B31" s="37" t="n"/>
      <c r="D31" s="36" t="n"/>
      <c r="E31" s="37" t="n"/>
      <c r="G31" s="36" t="n"/>
      <c r="H31" s="37" t="n"/>
      <c r="J31" s="36" t="n"/>
      <c r="K31" s="37" t="n"/>
      <c r="M31" s="36" t="n"/>
      <c r="N31" s="37" t="n"/>
      <c r="P31" s="36" t="n"/>
      <c r="Q31" s="37" t="n"/>
      <c r="S31" s="36" t="n"/>
      <c r="T31" s="37" t="n"/>
      <c r="V31" s="36" t="n"/>
      <c r="W31" s="37" t="n"/>
      <c r="Y31" s="36" t="n"/>
      <c r="Z31" s="37" t="n"/>
      <c r="AB31" s="36" t="n"/>
      <c r="AC31" s="37" t="n"/>
      <c r="AD31" s="37" t="n"/>
      <c r="AF31" s="36" t="n"/>
      <c r="AG31" s="37" t="n"/>
      <c r="AI31" s="36" t="n"/>
      <c r="AJ31" s="37" t="n"/>
      <c r="AL31" s="36" t="n"/>
      <c r="AM31" s="37" t="n"/>
      <c r="AO31" s="36" t="n"/>
      <c r="AP31" s="37" t="n"/>
      <c r="AR31" s="36" t="n"/>
      <c r="AS31" s="37" t="n"/>
    </row>
    <row r="32">
      <c r="A32" s="36" t="n"/>
      <c r="B32" s="37" t="n"/>
      <c r="D32" s="36" t="n"/>
      <c r="E32" s="37" t="n"/>
      <c r="G32" s="36" t="n"/>
      <c r="H32" s="37" t="n"/>
      <c r="J32" s="36" t="n"/>
      <c r="K32" s="37" t="n"/>
      <c r="M32" s="36" t="n"/>
      <c r="N32" s="37" t="n"/>
      <c r="P32" s="36" t="n"/>
      <c r="Q32" s="37" t="n"/>
      <c r="S32" s="36" t="n"/>
      <c r="T32" s="37" t="n"/>
      <c r="V32" s="36" t="n"/>
      <c r="W32" s="37" t="n"/>
      <c r="Y32" s="36" t="n"/>
      <c r="Z32" s="37" t="n"/>
      <c r="AB32" s="36" t="n"/>
      <c r="AC32" s="37" t="n"/>
      <c r="AD32" s="37" t="n"/>
      <c r="AF32" s="36" t="n"/>
      <c r="AG32" s="37" t="n"/>
      <c r="AI32" s="36" t="n"/>
      <c r="AJ32" s="37" t="n"/>
      <c r="AL32" s="36" t="n"/>
      <c r="AM32" s="37" t="n"/>
      <c r="AO32" s="36" t="n"/>
      <c r="AP32" s="37" t="n"/>
      <c r="AR32" s="36" t="n"/>
      <c r="AS32" s="37" t="n"/>
    </row>
    <row r="33">
      <c r="A33" s="36" t="n"/>
      <c r="B33" s="37" t="n"/>
      <c r="D33" s="36" t="n"/>
      <c r="E33" s="37" t="n"/>
      <c r="G33" s="36" t="n"/>
      <c r="H33" s="37" t="n"/>
      <c r="J33" s="36" t="n"/>
      <c r="K33" s="37" t="n"/>
      <c r="M33" s="36" t="n"/>
      <c r="N33" s="37" t="n"/>
      <c r="P33" s="36" t="n"/>
      <c r="Q33" s="37" t="n"/>
      <c r="S33" s="36" t="n"/>
      <c r="T33" s="37" t="n"/>
      <c r="V33" s="36" t="n"/>
      <c r="W33" s="37" t="n"/>
      <c r="Y33" s="36" t="n"/>
      <c r="Z33" s="37" t="n"/>
      <c r="AB33" s="36" t="n"/>
      <c r="AC33" s="37" t="n"/>
      <c r="AD33" s="37" t="n"/>
      <c r="AF33" s="36" t="n"/>
      <c r="AG33" s="37" t="n"/>
      <c r="AI33" s="36" t="n"/>
      <c r="AJ33" s="37" t="n"/>
      <c r="AL33" s="36" t="n"/>
      <c r="AM33" s="37" t="n"/>
      <c r="AO33" s="36" t="n"/>
      <c r="AP33" s="37" t="n"/>
      <c r="AR33" s="36" t="n"/>
      <c r="AS33" s="37" t="n"/>
    </row>
    <row r="34">
      <c r="A34" s="36" t="n"/>
      <c r="B34" s="37" t="n"/>
      <c r="D34" s="36" t="n"/>
      <c r="E34" s="37" t="n"/>
      <c r="G34" s="36" t="n"/>
      <c r="H34" s="37" t="n"/>
      <c r="J34" s="36" t="n"/>
      <c r="K34" s="37" t="n"/>
      <c r="M34" s="36" t="n"/>
      <c r="N34" s="37" t="n"/>
      <c r="P34" s="36" t="n"/>
      <c r="Q34" s="37" t="n"/>
      <c r="S34" s="36" t="n"/>
      <c r="T34" s="37" t="n"/>
      <c r="V34" s="36" t="n"/>
      <c r="W34" s="37" t="n"/>
      <c r="Y34" s="36" t="n"/>
      <c r="Z34" s="37" t="n"/>
      <c r="AB34" s="36" t="n"/>
      <c r="AC34" s="37" t="n"/>
      <c r="AD34" s="37" t="n"/>
      <c r="AF34" s="36" t="n"/>
      <c r="AG34" s="37" t="n"/>
      <c r="AI34" s="36" t="n"/>
      <c r="AJ34" s="37" t="n"/>
      <c r="AL34" s="36" t="n"/>
      <c r="AM34" s="37" t="n"/>
      <c r="AO34" s="36" t="n"/>
      <c r="AP34" s="37" t="n"/>
      <c r="AR34" s="36" t="n"/>
      <c r="AS34" s="37" t="n"/>
    </row>
  </sheetData>
  <mergeCells count="16">
    <mergeCell ref="S3:T3"/>
    <mergeCell ref="J3:K3"/>
    <mergeCell ref="AF3:AG3"/>
    <mergeCell ref="P3:Q3"/>
    <mergeCell ref="AI3:AJ3"/>
    <mergeCell ref="AL3:AM3"/>
    <mergeCell ref="Y3:Z3"/>
    <mergeCell ref="AO3:AP3"/>
    <mergeCell ref="AB3:AD3"/>
    <mergeCell ref="AR3:AS3"/>
    <mergeCell ref="M3:N3"/>
    <mergeCell ref="AU3:BA3"/>
    <mergeCell ref="D3:E3"/>
    <mergeCell ref="A3:B3"/>
    <mergeCell ref="G3:H3"/>
    <mergeCell ref="V3:W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8" customWidth="1" min="3" max="3"/>
    <col width="11" customWidth="1" min="4" max="4"/>
    <col width="13" customWidth="1" min="5" max="5"/>
    <col width="9" customWidth="1" min="6" max="6"/>
    <col width="12" customWidth="1" min="7" max="7"/>
    <col width="9" customWidth="1" min="8" max="8"/>
    <col width="10" customWidth="1" min="9" max="9"/>
    <col width="2" customWidth="1" min="10" max="10"/>
    <col width="16" customWidth="1" min="11" max="11"/>
    <col width="10" customWidth="1" min="12" max="12"/>
  </cols>
  <sheetData>
    <row r="1">
      <c r="A1" s="1" t="inlineStr">
        <is>
          <t>機種販売入力(対象機種が売れたら1行追加)</t>
        </is>
      </c>
    </row>
    <row r="2">
      <c r="A2" s="22" t="inlineStr">
        <is>
          <t>販売日・区分(SB/YM)・機種名(プルダウン)を選ぶだけで、その機種の(機種Pt+戦略Pt)×台数が自動加算されます(機種Ptの点数は機種マスタのQ〜R列で変更可。戦略Ptが空欄の機種は加算されません)。区分が空欄ならSBとして扱います。台数は空欄なら1台として計算します。販売日が空欄の行は日別に反映されません(赤く表示)。販売日は▼から選択(今日の日付は Ctrl+; でも入力可)。</t>
        </is>
      </c>
    </row>
    <row r="3" ht="30" customHeight="1">
      <c r="A3" s="9" t="inlineStr">
        <is>
          <t>販売日</t>
        </is>
      </c>
      <c r="B3" s="9" t="inlineStr">
        <is>
          <t>区分
(SB/YM)</t>
        </is>
      </c>
      <c r="C3" s="9" t="inlineStr">
        <is>
          <t>機種名</t>
        </is>
      </c>
      <c r="D3" s="9" t="inlineStr">
        <is>
          <t>台数
(空欄=1台)</t>
        </is>
      </c>
      <c r="E3" s="9" t="inlineStr">
        <is>
          <t>カテゴリ</t>
        </is>
      </c>
      <c r="F3" s="9" t="inlineStr">
        <is>
          <t>機種Pt</t>
        </is>
      </c>
      <c r="G3" s="9" t="inlineStr">
        <is>
          <t>戦略Pt
(1台あたり)</t>
        </is>
      </c>
      <c r="H3" s="9" t="inlineStr">
        <is>
          <t>台数(計)</t>
        </is>
      </c>
      <c r="I3" s="9" t="inlineStr">
        <is>
          <t>加算Pt
(機種Pt+戦略Pt)×台数</t>
        </is>
      </c>
      <c r="K3" s="9" t="inlineStr">
        <is>
          <t>戦略Pt 累計</t>
        </is>
      </c>
      <c r="L3" s="38">
        <f>SUM(I4:I503)</f>
        <v/>
      </c>
    </row>
    <row r="4" ht="30" customHeight="1">
      <c r="A4" s="56" t="n">
        <v>46296</v>
      </c>
      <c r="B4" s="41" t="inlineStr">
        <is>
          <t>SB</t>
        </is>
      </c>
      <c r="C4" s="40" t="inlineStr">
        <is>
          <t>iPhone 18 Pro Max(256GB)</t>
        </is>
      </c>
      <c r="D4" s="41" t="n"/>
      <c r="E4" s="30">
        <f>IF($C4="","",IF($B4="YM",IFERROR(INDEX(機種マスタ!$I$4:$I$203,MATCH($C4,機種マスタ!$J$4:$J$203,0)),"未登録"),IFERROR(INDEX(機種マスタ!$A$4:$A$363,MATCH($C4,機種マスタ!$B$4:$B$363,0)),"未登録")))</f>
        <v/>
      </c>
      <c r="F4" s="30">
        <f>IF($C4="","",IF($B4="YM",IFERROR(INDEX(機種マスタ!$K$4:$K$203,MATCH($C4,機種マスタ!$J$4:$J$203,0)),"-"),IFERROR(INDEX(機種マスタ!$C$4:$C$363,MATCH($C4,機種マスタ!$B$4:$B$363,0)),"-")))</f>
        <v/>
      </c>
      <c r="G4" s="30">
        <f>IF($C4="","",IF($B4="YM",IFERROR(N(INDEX(機種マスタ!$L$4:$L$203,MATCH($C4,機種マスタ!$J$4:$J$203,0))),0),IFERROR(N(INDEX(機種マスタ!$D$4:$D$363,MATCH($C4,機種マスタ!$B$4:$B$363,0))),0)))</f>
        <v/>
      </c>
      <c r="H4" s="30">
        <f>IF($C4="","",IF($D4="",1,$D4))</f>
        <v/>
      </c>
      <c r="I4" s="30">
        <f>IF($C4="","",IF(G4&gt;0,(G4+IFERROR(VLOOKUP(F4,機種マスタ!$Q$4:$R$6,2,FALSE),0))*H4,0))</f>
        <v/>
      </c>
      <c r="K4" s="9" t="inlineStr">
        <is>
          <t>戦略対象機種
販売台数</t>
        </is>
      </c>
      <c r="L4" s="38">
        <f>SUMIFS(H4:H503,G4:G503,"&gt;0")</f>
        <v/>
      </c>
    </row>
    <row r="5" ht="30" customHeight="1">
      <c r="A5" s="56" t="n">
        <v>46296</v>
      </c>
      <c r="B5" s="41" t="inlineStr">
        <is>
          <t>SB</t>
        </is>
      </c>
      <c r="C5" s="40" t="inlineStr">
        <is>
          <t>motorola razr 60s</t>
        </is>
      </c>
      <c r="D5" s="41" t="n"/>
      <c r="E5" s="30">
        <f>IF($C5="","",IF($B5="YM",IFERROR(INDEX(機種マスタ!$I$4:$I$203,MATCH($C5,機種マスタ!$J$4:$J$203,0)),"未登録"),IFERROR(INDEX(機種マスタ!$A$4:$A$363,MATCH($C5,機種マスタ!$B$4:$B$363,0)),"未登録")))</f>
        <v/>
      </c>
      <c r="F5" s="30">
        <f>IF($C5="","",IF($B5="YM",IFERROR(INDEX(機種マスタ!$K$4:$K$203,MATCH($C5,機種マスタ!$J$4:$J$203,0)),"-"),IFERROR(INDEX(機種マスタ!$C$4:$C$363,MATCH($C5,機種マスタ!$B$4:$B$363,0)),"-")))</f>
        <v/>
      </c>
      <c r="G5" s="30">
        <f>IF($C5="","",IF($B5="YM",IFERROR(N(INDEX(機種マスタ!$L$4:$L$203,MATCH($C5,機種マスタ!$J$4:$J$203,0))),0),IFERROR(N(INDEX(機種マスタ!$D$4:$D$363,MATCH($C5,機種マスタ!$B$4:$B$363,0))),0)))</f>
        <v/>
      </c>
      <c r="H5" s="30">
        <f>IF($C5="","",IF($D5="",1,$D5))</f>
        <v/>
      </c>
      <c r="I5" s="30">
        <f>IF($C5="","",IF(G5&gt;0,(G5+IFERROR(VLOOKUP(F5,機種マスタ!$Q$4:$R$6,2,FALSE),0))*H5,0))</f>
        <v/>
      </c>
      <c r="K5" s="9" t="inlineStr">
        <is>
          <t>全販売台数</t>
        </is>
      </c>
      <c r="L5" s="38">
        <f>SUM(H4:H503)</f>
        <v/>
      </c>
    </row>
    <row r="6" ht="30" customHeight="1">
      <c r="A6" s="56" t="n">
        <v>46296</v>
      </c>
      <c r="B6" s="41" t="inlineStr">
        <is>
          <t>SB</t>
        </is>
      </c>
      <c r="C6" s="40" t="inlineStr">
        <is>
          <t>moto g37</t>
        </is>
      </c>
      <c r="D6" s="41" t="n"/>
      <c r="E6" s="30">
        <f>IF($C6="","",IF($B6="YM",IFERROR(INDEX(機種マスタ!$I$4:$I$203,MATCH($C6,機種マスタ!$J$4:$J$203,0)),"未登録"),IFERROR(INDEX(機種マスタ!$A$4:$A$363,MATCH($C6,機種マスタ!$B$4:$B$363,0)),"未登録")))</f>
        <v/>
      </c>
      <c r="F6" s="30">
        <f>IF($C6="","",IF($B6="YM",IFERROR(INDEX(機種マスタ!$K$4:$K$203,MATCH($C6,機種マスタ!$J$4:$J$203,0)),"-"),IFERROR(INDEX(機種マスタ!$C$4:$C$363,MATCH($C6,機種マスタ!$B$4:$B$363,0)),"-")))</f>
        <v/>
      </c>
      <c r="G6" s="30">
        <f>IF($C6="","",IF($B6="YM",IFERROR(N(INDEX(機種マスタ!$L$4:$L$203,MATCH($C6,機種マスタ!$J$4:$J$203,0))),0),IFERROR(N(INDEX(機種マスタ!$D$4:$D$363,MATCH($C6,機種マスタ!$B$4:$B$363,0))),0)))</f>
        <v/>
      </c>
      <c r="H6" s="30">
        <f>IF($C6="","",IF($D6="",1,$D6))</f>
        <v/>
      </c>
      <c r="I6" s="30">
        <f>IF($C6="","",IF(G6&gt;0,(G6+IFERROR(VLOOKUP(F6,機種マスタ!$Q$4:$R$6,2,FALSE),0))*H6,0))</f>
        <v/>
      </c>
      <c r="K6" s="9" t="inlineStr">
        <is>
          <t>販売日 未入力
の行数</t>
        </is>
      </c>
      <c r="L6" s="38">
        <f>SUMPRODUCT((C4:C503&lt;&gt;"")*(A4:A503=""))</f>
        <v/>
      </c>
    </row>
    <row r="7">
      <c r="A7" s="56" t="n">
        <v>46297</v>
      </c>
      <c r="B7" s="41" t="inlineStr">
        <is>
          <t>SB</t>
        </is>
      </c>
      <c r="C7" s="40" t="inlineStr">
        <is>
          <t>AQUOS wish6</t>
        </is>
      </c>
      <c r="D7" s="41" t="n"/>
      <c r="E7" s="30">
        <f>IF($C7="","",IF($B7="YM",IFERROR(INDEX(機種マスタ!$I$4:$I$203,MATCH($C7,機種マスタ!$J$4:$J$203,0)),"未登録"),IFERROR(INDEX(機種マスタ!$A$4:$A$363,MATCH($C7,機種マスタ!$B$4:$B$363,0)),"未登録")))</f>
        <v/>
      </c>
      <c r="F7" s="30">
        <f>IF($C7="","",IF($B7="YM",IFERROR(INDEX(機種マスタ!$K$4:$K$203,MATCH($C7,機種マスタ!$J$4:$J$203,0)),"-"),IFERROR(INDEX(機種マスタ!$C$4:$C$363,MATCH($C7,機種マスタ!$B$4:$B$363,0)),"-")))</f>
        <v/>
      </c>
      <c r="G7" s="30">
        <f>IF($C7="","",IF($B7="YM",IFERROR(N(INDEX(機種マスタ!$L$4:$L$203,MATCH($C7,機種マスタ!$J$4:$J$203,0))),0),IFERROR(N(INDEX(機種マスタ!$D$4:$D$363,MATCH($C7,機種マスタ!$B$4:$B$363,0))),0)))</f>
        <v/>
      </c>
      <c r="H7" s="30">
        <f>IF($C7="","",IF($D7="",1,$D7))</f>
        <v/>
      </c>
      <c r="I7" s="30">
        <f>IF($C7="","",IF(G7&gt;0,(G7+IFERROR(VLOOKUP(F7,機種マスタ!$Q$4:$R$6,2,FALSE),0))*H7,0))</f>
        <v/>
      </c>
    </row>
    <row r="8">
      <c r="A8" s="56" t="n">
        <v>46297</v>
      </c>
      <c r="B8" s="41" t="inlineStr">
        <is>
          <t>SB</t>
        </is>
      </c>
      <c r="C8" s="40" t="inlineStr">
        <is>
          <t>iPhone 17(256GB)</t>
        </is>
      </c>
      <c r="D8" s="41" t="n"/>
      <c r="E8" s="30">
        <f>IF($C8="","",IF($B8="YM",IFERROR(INDEX(機種マスタ!$I$4:$I$203,MATCH($C8,機種マスタ!$J$4:$J$203,0)),"未登録"),IFERROR(INDEX(機種マスタ!$A$4:$A$363,MATCH($C8,機種マスタ!$B$4:$B$363,0)),"未登録")))</f>
        <v/>
      </c>
      <c r="F8" s="30">
        <f>IF($C8="","",IF($B8="YM",IFERROR(INDEX(機種マスタ!$K$4:$K$203,MATCH($C8,機種マスタ!$J$4:$J$203,0)),"-"),IFERROR(INDEX(機種マスタ!$C$4:$C$363,MATCH($C8,機種マスタ!$B$4:$B$363,0)),"-")))</f>
        <v/>
      </c>
      <c r="G8" s="30">
        <f>IF($C8="","",IF($B8="YM",IFERROR(N(INDEX(機種マスタ!$L$4:$L$203,MATCH($C8,機種マスタ!$J$4:$J$203,0))),0),IFERROR(N(INDEX(機種マスタ!$D$4:$D$363,MATCH($C8,機種マスタ!$B$4:$B$363,0))),0)))</f>
        <v/>
      </c>
      <c r="H8" s="30">
        <f>IF($C8="","",IF($D8="",1,$D8))</f>
        <v/>
      </c>
      <c r="I8" s="30">
        <f>IF($C8="","",IF(G8&gt;0,(G8+IFERROR(VLOOKUP(F8,機種マスタ!$Q$4:$R$6,2,FALSE),0))*H8,0))</f>
        <v/>
      </c>
    </row>
    <row r="9">
      <c r="A9" s="56" t="n">
        <v>46298</v>
      </c>
      <c r="B9" s="41" t="inlineStr">
        <is>
          <t>SB</t>
        </is>
      </c>
      <c r="C9" s="40" t="inlineStr">
        <is>
          <t>Samsung Galaxy S26(256GB)</t>
        </is>
      </c>
      <c r="D9" s="41" t="n"/>
      <c r="E9" s="30">
        <f>IF($C9="","",IF($B9="YM",IFERROR(INDEX(機種マスタ!$I$4:$I$203,MATCH($C9,機種マスタ!$J$4:$J$203,0)),"未登録"),IFERROR(INDEX(機種マスタ!$A$4:$A$363,MATCH($C9,機種マスタ!$B$4:$B$363,0)),"未登録")))</f>
        <v/>
      </c>
      <c r="F9" s="30">
        <f>IF($C9="","",IF($B9="YM",IFERROR(INDEX(機種マスタ!$K$4:$K$203,MATCH($C9,機種マスタ!$J$4:$J$203,0)),"-"),IFERROR(INDEX(機種マスタ!$C$4:$C$363,MATCH($C9,機種マスタ!$B$4:$B$363,0)),"-")))</f>
        <v/>
      </c>
      <c r="G9" s="30">
        <f>IF($C9="","",IF($B9="YM",IFERROR(N(INDEX(機種マスタ!$L$4:$L$203,MATCH($C9,機種マスタ!$J$4:$J$203,0))),0),IFERROR(N(INDEX(機種マスタ!$D$4:$D$363,MATCH($C9,機種マスタ!$B$4:$B$363,0))),0)))</f>
        <v/>
      </c>
      <c r="H9" s="30">
        <f>IF($C9="","",IF($D9="",1,$D9))</f>
        <v/>
      </c>
      <c r="I9" s="30">
        <f>IF($C9="","",IF(G9&gt;0,(G9+IFERROR(VLOOKUP(F9,機種マスタ!$Q$4:$R$6,2,FALSE),0))*H9,0))</f>
        <v/>
      </c>
    </row>
    <row r="10">
      <c r="A10" s="56" t="n">
        <v>46298</v>
      </c>
      <c r="B10" s="41" t="inlineStr">
        <is>
          <t>SB</t>
        </is>
      </c>
      <c r="C10" s="40" t="inlineStr">
        <is>
          <t>motorola edge 60s pro</t>
        </is>
      </c>
      <c r="D10" s="41" t="n"/>
      <c r="E10" s="30">
        <f>IF($C10="","",IF($B10="YM",IFERROR(INDEX(機種マスタ!$I$4:$I$203,MATCH($C10,機種マスタ!$J$4:$J$203,0)),"未登録"),IFERROR(INDEX(機種マスタ!$A$4:$A$363,MATCH($C10,機種マスタ!$B$4:$B$363,0)),"未登録")))</f>
        <v/>
      </c>
      <c r="F10" s="30">
        <f>IF($C10="","",IF($B10="YM",IFERROR(INDEX(機種マスタ!$K$4:$K$203,MATCH($C10,機種マスタ!$J$4:$J$203,0)),"-"),IFERROR(INDEX(機種マスタ!$C$4:$C$363,MATCH($C10,機種マスタ!$B$4:$B$363,0)),"-")))</f>
        <v/>
      </c>
      <c r="G10" s="30">
        <f>IF($C10="","",IF($B10="YM",IFERROR(N(INDEX(機種マスタ!$L$4:$L$203,MATCH($C10,機種マスタ!$J$4:$J$203,0))),0),IFERROR(N(INDEX(機種マスタ!$D$4:$D$363,MATCH($C10,機種マスタ!$B$4:$B$363,0))),0)))</f>
        <v/>
      </c>
      <c r="H10" s="30">
        <f>IF($C10="","",IF($D10="",1,$D10))</f>
        <v/>
      </c>
      <c r="I10" s="30">
        <f>IF($C10="","",IF(G10&gt;0,(G10+IFERROR(VLOOKUP(F10,機種マスタ!$Q$4:$R$6,2,FALSE),0))*H10,0))</f>
        <v/>
      </c>
    </row>
    <row r="11">
      <c r="A11" s="56" t="n">
        <v>46298</v>
      </c>
      <c r="B11" s="41" t="inlineStr">
        <is>
          <t>SB</t>
        </is>
      </c>
      <c r="C11" s="40" t="inlineStr">
        <is>
          <t>Samsung Galaxy S26+(512GB)</t>
        </is>
      </c>
      <c r="D11" s="41" t="n"/>
      <c r="E11" s="30">
        <f>IF($C11="","",IF($B11="YM",IFERROR(INDEX(機種マスタ!$I$4:$I$203,MATCH($C11,機種マスタ!$J$4:$J$203,0)),"未登録"),IFERROR(INDEX(機種マスタ!$A$4:$A$363,MATCH($C11,機種マスタ!$B$4:$B$363,0)),"未登録")))</f>
        <v/>
      </c>
      <c r="F11" s="30">
        <f>IF($C11="","",IF($B11="YM",IFERROR(INDEX(機種マスタ!$K$4:$K$203,MATCH($C11,機種マスタ!$J$4:$J$203,0)),"-"),IFERROR(INDEX(機種マスタ!$C$4:$C$363,MATCH($C11,機種マスタ!$B$4:$B$363,0)),"-")))</f>
        <v/>
      </c>
      <c r="G11" s="30">
        <f>IF($C11="","",IF($B11="YM",IFERROR(N(INDEX(機種マスタ!$L$4:$L$203,MATCH($C11,機種マスタ!$J$4:$J$203,0))),0),IFERROR(N(INDEX(機種マスタ!$D$4:$D$363,MATCH($C11,機種マスタ!$B$4:$B$363,0))),0)))</f>
        <v/>
      </c>
      <c r="H11" s="30">
        <f>IF($C11="","",IF($D11="",1,$D11))</f>
        <v/>
      </c>
      <c r="I11" s="30">
        <f>IF($C11="","",IF(G11&gt;0,(G11+IFERROR(VLOOKUP(F11,機種マスタ!$Q$4:$R$6,2,FALSE),0))*H11,0))</f>
        <v/>
      </c>
    </row>
    <row r="12">
      <c r="A12" s="56" t="n">
        <v>46299</v>
      </c>
      <c r="B12" s="41" t="inlineStr">
        <is>
          <t>SB</t>
        </is>
      </c>
      <c r="C12" s="40" t="inlineStr">
        <is>
          <t>iPhone 18 Pro(512GB)</t>
        </is>
      </c>
      <c r="D12" s="41" t="n"/>
      <c r="E12" s="30">
        <f>IF($C12="","",IF($B12="YM",IFERROR(INDEX(機種マスタ!$I$4:$I$203,MATCH($C12,機種マスタ!$J$4:$J$203,0)),"未登録"),IFERROR(INDEX(機種マスタ!$A$4:$A$363,MATCH($C12,機種マスタ!$B$4:$B$363,0)),"未登録")))</f>
        <v/>
      </c>
      <c r="F12" s="30">
        <f>IF($C12="","",IF($B12="YM",IFERROR(INDEX(機種マスタ!$K$4:$K$203,MATCH($C12,機種マスタ!$J$4:$J$203,0)),"-"),IFERROR(INDEX(機種マスタ!$C$4:$C$363,MATCH($C12,機種マスタ!$B$4:$B$363,0)),"-")))</f>
        <v/>
      </c>
      <c r="G12" s="30">
        <f>IF($C12="","",IF($B12="YM",IFERROR(N(INDEX(機種マスタ!$L$4:$L$203,MATCH($C12,機種マスタ!$J$4:$J$203,0))),0),IFERROR(N(INDEX(機種マスタ!$D$4:$D$363,MATCH($C12,機種マスタ!$B$4:$B$363,0))),0)))</f>
        <v/>
      </c>
      <c r="H12" s="30">
        <f>IF($C12="","",IF($D12="",1,$D12))</f>
        <v/>
      </c>
      <c r="I12" s="30">
        <f>IF($C12="","",IF(G12&gt;0,(G12+IFERROR(VLOOKUP(F12,機種マスタ!$Q$4:$R$6,2,FALSE),0))*H12,0))</f>
        <v/>
      </c>
    </row>
    <row r="13">
      <c r="A13" s="56" t="n">
        <v>46299</v>
      </c>
      <c r="B13" s="41" t="inlineStr">
        <is>
          <t>SB</t>
        </is>
      </c>
      <c r="C13" s="40" t="inlineStr">
        <is>
          <t>iPhone 18 Pro Max(512GB)</t>
        </is>
      </c>
      <c r="D13" s="41" t="n"/>
      <c r="E13" s="30">
        <f>IF($C13="","",IF($B13="YM",IFERROR(INDEX(機種マスタ!$I$4:$I$203,MATCH($C13,機種マスタ!$J$4:$J$203,0)),"未登録"),IFERROR(INDEX(機種マスタ!$A$4:$A$363,MATCH($C13,機種マスタ!$B$4:$B$363,0)),"未登録")))</f>
        <v/>
      </c>
      <c r="F13" s="30">
        <f>IF($C13="","",IF($B13="YM",IFERROR(INDEX(機種マスタ!$K$4:$K$203,MATCH($C13,機種マスタ!$J$4:$J$203,0)),"-"),IFERROR(INDEX(機種マスタ!$C$4:$C$363,MATCH($C13,機種マスタ!$B$4:$B$363,0)),"-")))</f>
        <v/>
      </c>
      <c r="G13" s="30">
        <f>IF($C13="","",IF($B13="YM",IFERROR(N(INDEX(機種マスタ!$L$4:$L$203,MATCH($C13,機種マスタ!$J$4:$J$203,0))),0),IFERROR(N(INDEX(機種マスタ!$D$4:$D$363,MATCH($C13,機種マスタ!$B$4:$B$363,0))),0)))</f>
        <v/>
      </c>
      <c r="H13" s="30">
        <f>IF($C13="","",IF($D13="",1,$D13))</f>
        <v/>
      </c>
      <c r="I13" s="30">
        <f>IF($C13="","",IF(G13&gt;0,(G13+IFERROR(VLOOKUP(F13,機種マスタ!$Q$4:$R$6,2,FALSE),0))*H13,0))</f>
        <v/>
      </c>
    </row>
    <row r="14">
      <c r="A14" s="56" t="n">
        <v>46299</v>
      </c>
      <c r="B14" s="41" t="inlineStr">
        <is>
          <t>SB</t>
        </is>
      </c>
      <c r="C14" s="40" t="inlineStr">
        <is>
          <t>iPhone 18 Pro Max(256GB)</t>
        </is>
      </c>
      <c r="D14" s="41" t="n"/>
      <c r="E14" s="30">
        <f>IF($C14="","",IF($B14="YM",IFERROR(INDEX(機種マスタ!$I$4:$I$203,MATCH($C14,機種マスタ!$J$4:$J$203,0)),"未登録"),IFERROR(INDEX(機種マスタ!$A$4:$A$363,MATCH($C14,機種マスタ!$B$4:$B$363,0)),"未登録")))</f>
        <v/>
      </c>
      <c r="F14" s="30">
        <f>IF($C14="","",IF($B14="YM",IFERROR(INDEX(機種マスタ!$K$4:$K$203,MATCH($C14,機種マスタ!$J$4:$J$203,0)),"-"),IFERROR(INDEX(機種マスタ!$C$4:$C$363,MATCH($C14,機種マスタ!$B$4:$B$363,0)),"-")))</f>
        <v/>
      </c>
      <c r="G14" s="30">
        <f>IF($C14="","",IF($B14="YM",IFERROR(N(INDEX(機種マスタ!$L$4:$L$203,MATCH($C14,機種マスタ!$J$4:$J$203,0))),0),IFERROR(N(INDEX(機種マスタ!$D$4:$D$363,MATCH($C14,機種マスタ!$B$4:$B$363,0))),0)))</f>
        <v/>
      </c>
      <c r="H14" s="30">
        <f>IF($C14="","",IF($D14="",1,$D14))</f>
        <v/>
      </c>
      <c r="I14" s="30">
        <f>IF($C14="","",IF(G14&gt;0,(G14+IFERROR(VLOOKUP(F14,機種マスタ!$Q$4:$R$6,2,FALSE),0))*H14,0))</f>
        <v/>
      </c>
    </row>
    <row r="15">
      <c r="A15" s="56" t="n">
        <v>46299</v>
      </c>
      <c r="B15" s="41" t="inlineStr">
        <is>
          <t>SB</t>
        </is>
      </c>
      <c r="C15" s="40" t="inlineStr">
        <is>
          <t>iPhone 18 Pro(256GB)</t>
        </is>
      </c>
      <c r="D15" s="41" t="n"/>
      <c r="E15" s="30">
        <f>IF($C15="","",IF($B15="YM",IFERROR(INDEX(機種マスタ!$I$4:$I$203,MATCH($C15,機種マスタ!$J$4:$J$203,0)),"未登録"),IFERROR(INDEX(機種マスタ!$A$4:$A$363,MATCH($C15,機種マスタ!$B$4:$B$363,0)),"未登録")))</f>
        <v/>
      </c>
      <c r="F15" s="30">
        <f>IF($C15="","",IF($B15="YM",IFERROR(INDEX(機種マスタ!$K$4:$K$203,MATCH($C15,機種マスタ!$J$4:$J$203,0)),"-"),IFERROR(INDEX(機種マスタ!$C$4:$C$363,MATCH($C15,機種マスタ!$B$4:$B$363,0)),"-")))</f>
        <v/>
      </c>
      <c r="G15" s="30">
        <f>IF($C15="","",IF($B15="YM",IFERROR(N(INDEX(機種マスタ!$L$4:$L$203,MATCH($C15,機種マスタ!$J$4:$J$203,0))),0),IFERROR(N(INDEX(機種マスタ!$D$4:$D$363,MATCH($C15,機種マスタ!$B$4:$B$363,0))),0)))</f>
        <v/>
      </c>
      <c r="H15" s="30">
        <f>IF($C15="","",IF($D15="",1,$D15))</f>
        <v/>
      </c>
      <c r="I15" s="30">
        <f>IF($C15="","",IF(G15&gt;0,(G15+IFERROR(VLOOKUP(F15,機種マスタ!$Q$4:$R$6,2,FALSE),0))*H15,0))</f>
        <v/>
      </c>
    </row>
    <row r="16">
      <c r="A16" s="56" t="n">
        <v>46299</v>
      </c>
      <c r="B16" s="41" t="inlineStr">
        <is>
          <t>SB</t>
        </is>
      </c>
      <c r="C16" s="40" t="inlineStr">
        <is>
          <t>iPhone 17(256GB)</t>
        </is>
      </c>
      <c r="D16" s="41" t="n"/>
      <c r="E16" s="30">
        <f>IF($C16="","",IF($B16="YM",IFERROR(INDEX(機種マスタ!$I$4:$I$203,MATCH($C16,機種マスタ!$J$4:$J$203,0)),"未登録"),IFERROR(INDEX(機種マスタ!$A$4:$A$363,MATCH($C16,機種マスタ!$B$4:$B$363,0)),"未登録")))</f>
        <v/>
      </c>
      <c r="F16" s="30">
        <f>IF($C16="","",IF($B16="YM",IFERROR(INDEX(機種マスタ!$K$4:$K$203,MATCH($C16,機種マスタ!$J$4:$J$203,0)),"-"),IFERROR(INDEX(機種マスタ!$C$4:$C$363,MATCH($C16,機種マスタ!$B$4:$B$363,0)),"-")))</f>
        <v/>
      </c>
      <c r="G16" s="30">
        <f>IF($C16="","",IF($B16="YM",IFERROR(N(INDEX(機種マスタ!$L$4:$L$203,MATCH($C16,機種マスタ!$J$4:$J$203,0))),0),IFERROR(N(INDEX(機種マスタ!$D$4:$D$363,MATCH($C16,機種マスタ!$B$4:$B$363,0))),0)))</f>
        <v/>
      </c>
      <c r="H16" s="30">
        <f>IF($C16="","",IF($D16="",1,$D16))</f>
        <v/>
      </c>
      <c r="I16" s="30">
        <f>IF($C16="","",IF(G16&gt;0,(G16+IFERROR(VLOOKUP(F16,機種マスタ!$Q$4:$R$6,2,FALSE),0))*H16,0))</f>
        <v/>
      </c>
    </row>
    <row r="17">
      <c r="A17" s="56" t="n">
        <v>46299</v>
      </c>
      <c r="B17" s="41" t="inlineStr">
        <is>
          <t>SB</t>
        </is>
      </c>
      <c r="C17" s="40" t="inlineStr">
        <is>
          <t>iPhone 17(256GB)</t>
        </is>
      </c>
      <c r="D17" s="41" t="n"/>
      <c r="E17" s="30">
        <f>IF($C17="","",IF($B17="YM",IFERROR(INDEX(機種マスタ!$I$4:$I$203,MATCH($C17,機種マスタ!$J$4:$J$203,0)),"未登録"),IFERROR(INDEX(機種マスタ!$A$4:$A$363,MATCH($C17,機種マスタ!$B$4:$B$363,0)),"未登録")))</f>
        <v/>
      </c>
      <c r="F17" s="30">
        <f>IF($C17="","",IF($B17="YM",IFERROR(INDEX(機種マスタ!$K$4:$K$203,MATCH($C17,機種マスタ!$J$4:$J$203,0)),"-"),IFERROR(INDEX(機種マスタ!$C$4:$C$363,MATCH($C17,機種マスタ!$B$4:$B$363,0)),"-")))</f>
        <v/>
      </c>
      <c r="G17" s="30">
        <f>IF($C17="","",IF($B17="YM",IFERROR(N(INDEX(機種マスタ!$L$4:$L$203,MATCH($C17,機種マスタ!$J$4:$J$203,0))),0),IFERROR(N(INDEX(機種マスタ!$D$4:$D$363,MATCH($C17,機種マスタ!$B$4:$B$363,0))),0)))</f>
        <v/>
      </c>
      <c r="H17" s="30">
        <f>IF($C17="","",IF($D17="",1,$D17))</f>
        <v/>
      </c>
      <c r="I17" s="30">
        <f>IF($C17="","",IF(G17&gt;0,(G17+IFERROR(VLOOKUP(F17,機種マスタ!$Q$4:$R$6,2,FALSE),0))*H17,0))</f>
        <v/>
      </c>
    </row>
    <row r="18">
      <c r="A18" s="56" t="n">
        <v>46299</v>
      </c>
      <c r="B18" s="41" t="inlineStr">
        <is>
          <t>SB</t>
        </is>
      </c>
      <c r="C18" s="40" t="inlineStr">
        <is>
          <t>iPhone 17(256GB)</t>
        </is>
      </c>
      <c r="D18" s="41" t="n"/>
      <c r="E18" s="30">
        <f>IF($C18="","",IF($B18="YM",IFERROR(INDEX(機種マスタ!$I$4:$I$203,MATCH($C18,機種マスタ!$J$4:$J$203,0)),"未登録"),IFERROR(INDEX(機種マスタ!$A$4:$A$363,MATCH($C18,機種マスタ!$B$4:$B$363,0)),"未登録")))</f>
        <v/>
      </c>
      <c r="F18" s="30">
        <f>IF($C18="","",IF($B18="YM",IFERROR(INDEX(機種マスタ!$K$4:$K$203,MATCH($C18,機種マスタ!$J$4:$J$203,0)),"-"),IFERROR(INDEX(機種マスタ!$C$4:$C$363,MATCH($C18,機種マスタ!$B$4:$B$363,0)),"-")))</f>
        <v/>
      </c>
      <c r="G18" s="30">
        <f>IF($C18="","",IF($B18="YM",IFERROR(N(INDEX(機種マスタ!$L$4:$L$203,MATCH($C18,機種マスタ!$J$4:$J$203,0))),0),IFERROR(N(INDEX(機種マスタ!$D$4:$D$363,MATCH($C18,機種マスタ!$B$4:$B$363,0))),0)))</f>
        <v/>
      </c>
      <c r="H18" s="30">
        <f>IF($C18="","",IF($D18="",1,$D18))</f>
        <v/>
      </c>
      <c r="I18" s="30">
        <f>IF($C18="","",IF(G18&gt;0,(G18+IFERROR(VLOOKUP(F18,機種マスタ!$Q$4:$R$6,2,FALSE),0))*H18,0))</f>
        <v/>
      </c>
    </row>
    <row r="19">
      <c r="A19" s="56" t="n">
        <v>46299</v>
      </c>
      <c r="B19" s="41" t="inlineStr">
        <is>
          <t>SB</t>
        </is>
      </c>
      <c r="C19" s="40" t="inlineStr">
        <is>
          <t>iPhone 18 Pro(256GB)</t>
        </is>
      </c>
      <c r="D19" s="41" t="n"/>
      <c r="E19" s="30">
        <f>IF($C19="","",IF($B19="YM",IFERROR(INDEX(機種マスタ!$I$4:$I$203,MATCH($C19,機種マスタ!$J$4:$J$203,0)),"未登録"),IFERROR(INDEX(機種マスタ!$A$4:$A$363,MATCH($C19,機種マスタ!$B$4:$B$363,0)),"未登録")))</f>
        <v/>
      </c>
      <c r="F19" s="30">
        <f>IF($C19="","",IF($B19="YM",IFERROR(INDEX(機種マスタ!$K$4:$K$203,MATCH($C19,機種マスタ!$J$4:$J$203,0)),"-"),IFERROR(INDEX(機種マスタ!$C$4:$C$363,MATCH($C19,機種マスタ!$B$4:$B$363,0)),"-")))</f>
        <v/>
      </c>
      <c r="G19" s="30">
        <f>IF($C19="","",IF($B19="YM",IFERROR(N(INDEX(機種マスタ!$L$4:$L$203,MATCH($C19,機種マスタ!$J$4:$J$203,0))),0),IFERROR(N(INDEX(機種マスタ!$D$4:$D$363,MATCH($C19,機種マスタ!$B$4:$B$363,0))),0)))</f>
        <v/>
      </c>
      <c r="H19" s="30">
        <f>IF($C19="","",IF($D19="",1,$D19))</f>
        <v/>
      </c>
      <c r="I19" s="30">
        <f>IF($C19="","",IF(G19&gt;0,(G19+IFERROR(VLOOKUP(F19,機種マスタ!$Q$4:$R$6,2,FALSE),0))*H19,0))</f>
        <v/>
      </c>
    </row>
    <row r="20">
      <c r="A20" s="56" t="n">
        <v>46299</v>
      </c>
      <c r="B20" s="41" t="inlineStr">
        <is>
          <t>SB</t>
        </is>
      </c>
      <c r="C20" s="40" t="inlineStr">
        <is>
          <t>Samsung Galaxy S26(256GB)</t>
        </is>
      </c>
      <c r="D20" s="41" t="n"/>
      <c r="E20" s="30">
        <f>IF($C20="","",IF($B20="YM",IFERROR(INDEX(機種マスタ!$I$4:$I$203,MATCH($C20,機種マスタ!$J$4:$J$203,0)),"未登録"),IFERROR(INDEX(機種マスタ!$A$4:$A$363,MATCH($C20,機種マスタ!$B$4:$B$363,0)),"未登録")))</f>
        <v/>
      </c>
      <c r="F20" s="30">
        <f>IF($C20="","",IF($B20="YM",IFERROR(INDEX(機種マスタ!$K$4:$K$203,MATCH($C20,機種マスタ!$J$4:$J$203,0)),"-"),IFERROR(INDEX(機種マスタ!$C$4:$C$363,MATCH($C20,機種マスタ!$B$4:$B$363,0)),"-")))</f>
        <v/>
      </c>
      <c r="G20" s="30">
        <f>IF($C20="","",IF($B20="YM",IFERROR(N(INDEX(機種マスタ!$L$4:$L$203,MATCH($C20,機種マスタ!$J$4:$J$203,0))),0),IFERROR(N(INDEX(機種マスタ!$D$4:$D$363,MATCH($C20,機種マスタ!$B$4:$B$363,0))),0)))</f>
        <v/>
      </c>
      <c r="H20" s="30">
        <f>IF($C20="","",IF($D20="",1,$D20))</f>
        <v/>
      </c>
      <c r="I20" s="30">
        <f>IF($C20="","",IF(G20&gt;0,(G20+IFERROR(VLOOKUP(F20,機種マスタ!$Q$4:$R$6,2,FALSE),0))*H20,0))</f>
        <v/>
      </c>
    </row>
    <row r="21">
      <c r="A21" s="56" t="n">
        <v>46300</v>
      </c>
      <c r="B21" s="41" t="inlineStr">
        <is>
          <t>SB</t>
        </is>
      </c>
      <c r="C21" s="40" t="inlineStr">
        <is>
          <t>iPhone 17(256GB)</t>
        </is>
      </c>
      <c r="D21" s="41" t="n"/>
      <c r="E21" s="30">
        <f>IF($C21="","",IF($B21="YM",IFERROR(INDEX(機種マスタ!$I$4:$I$203,MATCH($C21,機種マスタ!$J$4:$J$203,0)),"未登録"),IFERROR(INDEX(機種マスタ!$A$4:$A$363,MATCH($C21,機種マスタ!$B$4:$B$363,0)),"未登録")))</f>
        <v/>
      </c>
      <c r="F21" s="30">
        <f>IF($C21="","",IF($B21="YM",IFERROR(INDEX(機種マスタ!$K$4:$K$203,MATCH($C21,機種マスタ!$J$4:$J$203,0)),"-"),IFERROR(INDEX(機種マスタ!$C$4:$C$363,MATCH($C21,機種マスタ!$B$4:$B$363,0)),"-")))</f>
        <v/>
      </c>
      <c r="G21" s="30">
        <f>IF($C21="","",IF($B21="YM",IFERROR(N(INDEX(機種マスタ!$L$4:$L$203,MATCH($C21,機種マスタ!$J$4:$J$203,0))),0),IFERROR(N(INDEX(機種マスタ!$D$4:$D$363,MATCH($C21,機種マスタ!$B$4:$B$363,0))),0)))</f>
        <v/>
      </c>
      <c r="H21" s="30">
        <f>IF($C21="","",IF($D21="",1,$D21))</f>
        <v/>
      </c>
      <c r="I21" s="30">
        <f>IF($C21="","",IF(G21&gt;0,(G21+IFERROR(VLOOKUP(F21,機種マスタ!$Q$4:$R$6,2,FALSE),0))*H21,0))</f>
        <v/>
      </c>
    </row>
    <row r="22">
      <c r="A22" s="56" t="n">
        <v>46300</v>
      </c>
      <c r="B22" s="41" t="inlineStr">
        <is>
          <t>SB</t>
        </is>
      </c>
      <c r="C22" s="40" t="inlineStr">
        <is>
          <t>iPhone 18 Pro(256GB)</t>
        </is>
      </c>
      <c r="D22" s="41" t="n"/>
      <c r="E22" s="30">
        <f>IF($C22="","",IF($B22="YM",IFERROR(INDEX(機種マスタ!$I$4:$I$203,MATCH($C22,機種マスタ!$J$4:$J$203,0)),"未登録"),IFERROR(INDEX(機種マスタ!$A$4:$A$363,MATCH($C22,機種マスタ!$B$4:$B$363,0)),"未登録")))</f>
        <v/>
      </c>
      <c r="F22" s="30">
        <f>IF($C22="","",IF($B22="YM",IFERROR(INDEX(機種マスタ!$K$4:$K$203,MATCH($C22,機種マスタ!$J$4:$J$203,0)),"-"),IFERROR(INDEX(機種マスタ!$C$4:$C$363,MATCH($C22,機種マスタ!$B$4:$B$363,0)),"-")))</f>
        <v/>
      </c>
      <c r="G22" s="30">
        <f>IF($C22="","",IF($B22="YM",IFERROR(N(INDEX(機種マスタ!$L$4:$L$203,MATCH($C22,機種マスタ!$J$4:$J$203,0))),0),IFERROR(N(INDEX(機種マスタ!$D$4:$D$363,MATCH($C22,機種マスタ!$B$4:$B$363,0))),0)))</f>
        <v/>
      </c>
      <c r="H22" s="30">
        <f>IF($C22="","",IF($D22="",1,$D22))</f>
        <v/>
      </c>
      <c r="I22" s="30">
        <f>IF($C22="","",IF(G22&gt;0,(G22+IFERROR(VLOOKUP(F22,機種マスタ!$Q$4:$R$6,2,FALSE),0))*H22,0))</f>
        <v/>
      </c>
    </row>
    <row r="23">
      <c r="A23" s="56" t="n">
        <v>46300</v>
      </c>
      <c r="B23" s="41" t="inlineStr">
        <is>
          <t>SB</t>
        </is>
      </c>
      <c r="C23" s="40" t="inlineStr">
        <is>
          <t>motorola edge 60s pro</t>
        </is>
      </c>
      <c r="D23" s="41" t="n"/>
      <c r="E23" s="30">
        <f>IF($C23="","",IF($B23="YM",IFERROR(INDEX(機種マスタ!$I$4:$I$203,MATCH($C23,機種マスタ!$J$4:$J$203,0)),"未登録"),IFERROR(INDEX(機種マスタ!$A$4:$A$363,MATCH($C23,機種マスタ!$B$4:$B$363,0)),"未登録")))</f>
        <v/>
      </c>
      <c r="F23" s="30">
        <f>IF($C23="","",IF($B23="YM",IFERROR(INDEX(機種マスタ!$K$4:$K$203,MATCH($C23,機種マスタ!$J$4:$J$203,0)),"-"),IFERROR(INDEX(機種マスタ!$C$4:$C$363,MATCH($C23,機種マスタ!$B$4:$B$363,0)),"-")))</f>
        <v/>
      </c>
      <c r="G23" s="30">
        <f>IF($C23="","",IF($B23="YM",IFERROR(N(INDEX(機種マスタ!$L$4:$L$203,MATCH($C23,機種マスタ!$J$4:$J$203,0))),0),IFERROR(N(INDEX(機種マスタ!$D$4:$D$363,MATCH($C23,機種マスタ!$B$4:$B$363,0))),0)))</f>
        <v/>
      </c>
      <c r="H23" s="30">
        <f>IF($C23="","",IF($D23="",1,$D23))</f>
        <v/>
      </c>
      <c r="I23" s="30">
        <f>IF($C23="","",IF(G23&gt;0,(G23+IFERROR(VLOOKUP(F23,機種マスタ!$Q$4:$R$6,2,FALSE),0))*H23,0))</f>
        <v/>
      </c>
    </row>
    <row r="24">
      <c r="A24" s="56" t="n">
        <v>46301</v>
      </c>
      <c r="B24" s="41" t="inlineStr">
        <is>
          <t>SB</t>
        </is>
      </c>
      <c r="C24" s="40" t="inlineStr">
        <is>
          <t>iPhone 18 Pro(256GB)</t>
        </is>
      </c>
      <c r="D24" s="41" t="n"/>
      <c r="E24" s="30">
        <f>IF($C24="","",IF($B24="YM",IFERROR(INDEX(機種マスタ!$I$4:$I$203,MATCH($C24,機種マスタ!$J$4:$J$203,0)),"未登録"),IFERROR(INDEX(機種マスタ!$A$4:$A$363,MATCH($C24,機種マスタ!$B$4:$B$363,0)),"未登録")))</f>
        <v/>
      </c>
      <c r="F24" s="30">
        <f>IF($C24="","",IF($B24="YM",IFERROR(INDEX(機種マスタ!$K$4:$K$203,MATCH($C24,機種マスタ!$J$4:$J$203,0)),"-"),IFERROR(INDEX(機種マスタ!$C$4:$C$363,MATCH($C24,機種マスタ!$B$4:$B$363,0)),"-")))</f>
        <v/>
      </c>
      <c r="G24" s="30">
        <f>IF($C24="","",IF($B24="YM",IFERROR(N(INDEX(機種マスタ!$L$4:$L$203,MATCH($C24,機種マスタ!$J$4:$J$203,0))),0),IFERROR(N(INDEX(機種マスタ!$D$4:$D$363,MATCH($C24,機種マスタ!$B$4:$B$363,0))),0)))</f>
        <v/>
      </c>
      <c r="H24" s="30">
        <f>IF($C24="","",IF($D24="",1,$D24))</f>
        <v/>
      </c>
      <c r="I24" s="30">
        <f>IF($C24="","",IF(G24&gt;0,(G24+IFERROR(VLOOKUP(F24,機種マスタ!$Q$4:$R$6,2,FALSE),0))*H24,0))</f>
        <v/>
      </c>
    </row>
    <row r="25">
      <c r="A25" s="56" t="n">
        <v>46302</v>
      </c>
      <c r="B25" s="41" t="inlineStr">
        <is>
          <t>SB</t>
        </is>
      </c>
      <c r="C25" s="40" t="inlineStr">
        <is>
          <t>iPhone 18 Pro(256GB)</t>
        </is>
      </c>
      <c r="D25" s="41" t="n"/>
      <c r="E25" s="30">
        <f>IF($C25="","",IF($B25="YM",IFERROR(INDEX(機種マスタ!$I$4:$I$203,MATCH($C25,機種マスタ!$J$4:$J$203,0)),"未登録"),IFERROR(INDEX(機種マスタ!$A$4:$A$363,MATCH($C25,機種マスタ!$B$4:$B$363,0)),"未登録")))</f>
        <v/>
      </c>
      <c r="F25" s="30">
        <f>IF($C25="","",IF($B25="YM",IFERROR(INDEX(機種マスタ!$K$4:$K$203,MATCH($C25,機種マスタ!$J$4:$J$203,0)),"-"),IFERROR(INDEX(機種マスタ!$C$4:$C$363,MATCH($C25,機種マスタ!$B$4:$B$363,0)),"-")))</f>
        <v/>
      </c>
      <c r="G25" s="30">
        <f>IF($C25="","",IF($B25="YM",IFERROR(N(INDEX(機種マスタ!$L$4:$L$203,MATCH($C25,機種マスタ!$J$4:$J$203,0))),0),IFERROR(N(INDEX(機種マスタ!$D$4:$D$363,MATCH($C25,機種マスタ!$B$4:$B$363,0))),0)))</f>
        <v/>
      </c>
      <c r="H25" s="30">
        <f>IF($C25="","",IF($D25="",1,$D25))</f>
        <v/>
      </c>
      <c r="I25" s="30">
        <f>IF($C25="","",IF(G25&gt;0,(G25+IFERROR(VLOOKUP(F25,機種マスタ!$Q$4:$R$6,2,FALSE),0))*H25,0))</f>
        <v/>
      </c>
    </row>
    <row r="26">
      <c r="A26" s="56" t="n">
        <v>46302</v>
      </c>
      <c r="B26" s="41" t="inlineStr">
        <is>
          <t>SB</t>
        </is>
      </c>
      <c r="C26" s="40" t="inlineStr">
        <is>
          <t>Samsung Galaxy A57 5G</t>
        </is>
      </c>
      <c r="D26" s="41" t="n"/>
      <c r="E26" s="30">
        <f>IF($C26="","",IF($B26="YM",IFERROR(INDEX(機種マスタ!$I$4:$I$203,MATCH($C26,機種マスタ!$J$4:$J$203,0)),"未登録"),IFERROR(INDEX(機種マスタ!$A$4:$A$363,MATCH($C26,機種マスタ!$B$4:$B$363,0)),"未登録")))</f>
        <v/>
      </c>
      <c r="F26" s="30">
        <f>IF($C26="","",IF($B26="YM",IFERROR(INDEX(機種マスタ!$K$4:$K$203,MATCH($C26,機種マスタ!$J$4:$J$203,0)),"-"),IFERROR(INDEX(機種マスタ!$C$4:$C$363,MATCH($C26,機種マスタ!$B$4:$B$363,0)),"-")))</f>
        <v/>
      </c>
      <c r="G26" s="30">
        <f>IF($C26="","",IF($B26="YM",IFERROR(N(INDEX(機種マスタ!$L$4:$L$203,MATCH($C26,機種マスタ!$J$4:$J$203,0))),0),IFERROR(N(INDEX(機種マスタ!$D$4:$D$363,MATCH($C26,機種マスタ!$B$4:$B$363,0))),0)))</f>
        <v/>
      </c>
      <c r="H26" s="30">
        <f>IF($C26="","",IF($D26="",1,$D26))</f>
        <v/>
      </c>
      <c r="I26" s="30">
        <f>IF($C26="","",IF(G26&gt;0,(G26+IFERROR(VLOOKUP(F26,機種マスタ!$Q$4:$R$6,2,FALSE),0))*H26,0))</f>
        <v/>
      </c>
    </row>
    <row r="27">
      <c r="A27" s="56" t="n"/>
      <c r="B27" s="41" t="n"/>
      <c r="C27" s="40" t="n"/>
      <c r="D27" s="41" t="n"/>
      <c r="E27" s="30">
        <f>IF($C27="","",IF($B27="YM",IFERROR(INDEX(機種マスタ!$I$4:$I$203,MATCH($C27,機種マスタ!$J$4:$J$203,0)),"未登録"),IFERROR(INDEX(機種マスタ!$A$4:$A$363,MATCH($C27,機種マスタ!$B$4:$B$363,0)),"未登録")))</f>
        <v/>
      </c>
      <c r="F27" s="30">
        <f>IF($C27="","",IF($B27="YM",IFERROR(INDEX(機種マスタ!$K$4:$K$203,MATCH($C27,機種マスタ!$J$4:$J$203,0)),"-"),IFERROR(INDEX(機種マスタ!$C$4:$C$363,MATCH($C27,機種マスタ!$B$4:$B$363,0)),"-")))</f>
        <v/>
      </c>
      <c r="G27" s="30">
        <f>IF($C27="","",IF($B27="YM",IFERROR(N(INDEX(機種マスタ!$L$4:$L$203,MATCH($C27,機種マスタ!$J$4:$J$203,0))),0),IFERROR(N(INDEX(機種マスタ!$D$4:$D$363,MATCH($C27,機種マスタ!$B$4:$B$363,0))),0)))</f>
        <v/>
      </c>
      <c r="H27" s="30">
        <f>IF($C27="","",IF($D27="",1,$D27))</f>
        <v/>
      </c>
      <c r="I27" s="30">
        <f>IF($C27="","",IF(G27&gt;0,(G27+IFERROR(VLOOKUP(F27,機種マスタ!$Q$4:$R$6,2,FALSE),0))*H27,0))</f>
        <v/>
      </c>
    </row>
    <row r="28">
      <c r="A28" s="56" t="n"/>
      <c r="B28" s="41" t="n"/>
      <c r="C28" s="40" t="n"/>
      <c r="D28" s="41" t="n"/>
      <c r="E28" s="30">
        <f>IF($C28="","",IF($B28="YM",IFERROR(INDEX(機種マスタ!$I$4:$I$203,MATCH($C28,機種マスタ!$J$4:$J$203,0)),"未登録"),IFERROR(INDEX(機種マスタ!$A$4:$A$363,MATCH($C28,機種マスタ!$B$4:$B$363,0)),"未登録")))</f>
        <v/>
      </c>
      <c r="F28" s="30">
        <f>IF($C28="","",IF($B28="YM",IFERROR(INDEX(機種マスタ!$K$4:$K$203,MATCH($C28,機種マスタ!$J$4:$J$203,0)),"-"),IFERROR(INDEX(機種マスタ!$C$4:$C$363,MATCH($C28,機種マスタ!$B$4:$B$363,0)),"-")))</f>
        <v/>
      </c>
      <c r="G28" s="30">
        <f>IF($C28="","",IF($B28="YM",IFERROR(N(INDEX(機種マスタ!$L$4:$L$203,MATCH($C28,機種マスタ!$J$4:$J$203,0))),0),IFERROR(N(INDEX(機種マスタ!$D$4:$D$363,MATCH($C28,機種マスタ!$B$4:$B$363,0))),0)))</f>
        <v/>
      </c>
      <c r="H28" s="30">
        <f>IF($C28="","",IF($D28="",1,$D28))</f>
        <v/>
      </c>
      <c r="I28" s="30">
        <f>IF($C28="","",IF(G28&gt;0,(G28+IFERROR(VLOOKUP(F28,機種マスタ!$Q$4:$R$6,2,FALSE),0))*H28,0))</f>
        <v/>
      </c>
    </row>
    <row r="29">
      <c r="A29" s="56" t="n"/>
      <c r="B29" s="41" t="n"/>
      <c r="C29" s="40" t="n"/>
      <c r="D29" s="41" t="n"/>
      <c r="E29" s="30">
        <f>IF($C29="","",IF($B29="YM",IFERROR(INDEX(機種マスタ!$I$4:$I$203,MATCH($C29,機種マスタ!$J$4:$J$203,0)),"未登録"),IFERROR(INDEX(機種マスタ!$A$4:$A$363,MATCH($C29,機種マスタ!$B$4:$B$363,0)),"未登録")))</f>
        <v/>
      </c>
      <c r="F29" s="30">
        <f>IF($C29="","",IF($B29="YM",IFERROR(INDEX(機種マスタ!$K$4:$K$203,MATCH($C29,機種マスタ!$J$4:$J$203,0)),"-"),IFERROR(INDEX(機種マスタ!$C$4:$C$363,MATCH($C29,機種マスタ!$B$4:$B$363,0)),"-")))</f>
        <v/>
      </c>
      <c r="G29" s="30">
        <f>IF($C29="","",IF($B29="YM",IFERROR(N(INDEX(機種マスタ!$L$4:$L$203,MATCH($C29,機種マスタ!$J$4:$J$203,0))),0),IFERROR(N(INDEX(機種マスタ!$D$4:$D$363,MATCH($C29,機種マスタ!$B$4:$B$363,0))),0)))</f>
        <v/>
      </c>
      <c r="H29" s="30">
        <f>IF($C29="","",IF($D29="",1,$D29))</f>
        <v/>
      </c>
      <c r="I29" s="30">
        <f>IF($C29="","",IF(G29&gt;0,(G29+IFERROR(VLOOKUP(F29,機種マスタ!$Q$4:$R$6,2,FALSE),0))*H29,0))</f>
        <v/>
      </c>
    </row>
    <row r="30">
      <c r="A30" s="56" t="n"/>
      <c r="B30" s="41" t="n"/>
      <c r="C30" s="40" t="n"/>
      <c r="D30" s="41" t="n"/>
      <c r="E30" s="30">
        <f>IF($C30="","",IF($B30="YM",IFERROR(INDEX(機種マスタ!$I$4:$I$203,MATCH($C30,機種マスタ!$J$4:$J$203,0)),"未登録"),IFERROR(INDEX(機種マスタ!$A$4:$A$363,MATCH($C30,機種マスタ!$B$4:$B$363,0)),"未登録")))</f>
        <v/>
      </c>
      <c r="F30" s="30">
        <f>IF($C30="","",IF($B30="YM",IFERROR(INDEX(機種マスタ!$K$4:$K$203,MATCH($C30,機種マスタ!$J$4:$J$203,0)),"-"),IFERROR(INDEX(機種マスタ!$C$4:$C$363,MATCH($C30,機種マスタ!$B$4:$B$363,0)),"-")))</f>
        <v/>
      </c>
      <c r="G30" s="30">
        <f>IF($C30="","",IF($B30="YM",IFERROR(N(INDEX(機種マスタ!$L$4:$L$203,MATCH($C30,機種マスタ!$J$4:$J$203,0))),0),IFERROR(N(INDEX(機種マスタ!$D$4:$D$363,MATCH($C30,機種マスタ!$B$4:$B$363,0))),0)))</f>
        <v/>
      </c>
      <c r="H30" s="30">
        <f>IF($C30="","",IF($D30="",1,$D30))</f>
        <v/>
      </c>
      <c r="I30" s="30">
        <f>IF($C30="","",IF(G30&gt;0,(G30+IFERROR(VLOOKUP(F30,機種マスタ!$Q$4:$R$6,2,FALSE),0))*H30,0))</f>
        <v/>
      </c>
    </row>
    <row r="31">
      <c r="A31" s="56" t="n"/>
      <c r="B31" s="41" t="n"/>
      <c r="C31" s="40" t="n"/>
      <c r="D31" s="41" t="n"/>
      <c r="E31" s="30">
        <f>IF($C31="","",IF($B31="YM",IFERROR(INDEX(機種マスタ!$I$4:$I$203,MATCH($C31,機種マスタ!$J$4:$J$203,0)),"未登録"),IFERROR(INDEX(機種マスタ!$A$4:$A$363,MATCH($C31,機種マスタ!$B$4:$B$363,0)),"未登録")))</f>
        <v/>
      </c>
      <c r="F31" s="30">
        <f>IF($C31="","",IF($B31="YM",IFERROR(INDEX(機種マスタ!$K$4:$K$203,MATCH($C31,機種マスタ!$J$4:$J$203,0)),"-"),IFERROR(INDEX(機種マスタ!$C$4:$C$363,MATCH($C31,機種マスタ!$B$4:$B$363,0)),"-")))</f>
        <v/>
      </c>
      <c r="G31" s="30">
        <f>IF($C31="","",IF($B31="YM",IFERROR(N(INDEX(機種マスタ!$L$4:$L$203,MATCH($C31,機種マスタ!$J$4:$J$203,0))),0),IFERROR(N(INDEX(機種マスタ!$D$4:$D$363,MATCH($C31,機種マスタ!$B$4:$B$363,0))),0)))</f>
        <v/>
      </c>
      <c r="H31" s="30">
        <f>IF($C31="","",IF($D31="",1,$D31))</f>
        <v/>
      </c>
      <c r="I31" s="30">
        <f>IF($C31="","",IF(G31&gt;0,(G31+IFERROR(VLOOKUP(F31,機種マスタ!$Q$4:$R$6,2,FALSE),0))*H31,0))</f>
        <v/>
      </c>
    </row>
    <row r="32">
      <c r="A32" s="56" t="n"/>
      <c r="B32" s="41" t="n"/>
      <c r="C32" s="40" t="n"/>
      <c r="D32" s="41" t="n"/>
      <c r="E32" s="30">
        <f>IF($C32="","",IF($B32="YM",IFERROR(INDEX(機種マスタ!$I$4:$I$203,MATCH($C32,機種マスタ!$J$4:$J$203,0)),"未登録"),IFERROR(INDEX(機種マスタ!$A$4:$A$363,MATCH($C32,機種マスタ!$B$4:$B$363,0)),"未登録")))</f>
        <v/>
      </c>
      <c r="F32" s="30">
        <f>IF($C32="","",IF($B32="YM",IFERROR(INDEX(機種マスタ!$K$4:$K$203,MATCH($C32,機種マスタ!$J$4:$J$203,0)),"-"),IFERROR(INDEX(機種マスタ!$C$4:$C$363,MATCH($C32,機種マスタ!$B$4:$B$363,0)),"-")))</f>
        <v/>
      </c>
      <c r="G32" s="30">
        <f>IF($C32="","",IF($B32="YM",IFERROR(N(INDEX(機種マスタ!$L$4:$L$203,MATCH($C32,機種マスタ!$J$4:$J$203,0))),0),IFERROR(N(INDEX(機種マスタ!$D$4:$D$363,MATCH($C32,機種マスタ!$B$4:$B$363,0))),0)))</f>
        <v/>
      </c>
      <c r="H32" s="30">
        <f>IF($C32="","",IF($D32="",1,$D32))</f>
        <v/>
      </c>
      <c r="I32" s="30">
        <f>IF($C32="","",IF(G32&gt;0,(G32+IFERROR(VLOOKUP(F32,機種マスタ!$Q$4:$R$6,2,FALSE),0))*H32,0))</f>
        <v/>
      </c>
    </row>
    <row r="33">
      <c r="A33" s="56" t="n"/>
      <c r="B33" s="41" t="n"/>
      <c r="C33" s="40" t="n"/>
      <c r="D33" s="41" t="n"/>
      <c r="E33" s="30">
        <f>IF($C33="","",IF($B33="YM",IFERROR(INDEX(機種マスタ!$I$4:$I$203,MATCH($C33,機種マスタ!$J$4:$J$203,0)),"未登録"),IFERROR(INDEX(機種マスタ!$A$4:$A$363,MATCH($C33,機種マスタ!$B$4:$B$363,0)),"未登録")))</f>
        <v/>
      </c>
      <c r="F33" s="30">
        <f>IF($C33="","",IF($B33="YM",IFERROR(INDEX(機種マスタ!$K$4:$K$203,MATCH($C33,機種マスタ!$J$4:$J$203,0)),"-"),IFERROR(INDEX(機種マスタ!$C$4:$C$363,MATCH($C33,機種マスタ!$B$4:$B$363,0)),"-")))</f>
        <v/>
      </c>
      <c r="G33" s="30">
        <f>IF($C33="","",IF($B33="YM",IFERROR(N(INDEX(機種マスタ!$L$4:$L$203,MATCH($C33,機種マスタ!$J$4:$J$203,0))),0),IFERROR(N(INDEX(機種マスタ!$D$4:$D$363,MATCH($C33,機種マスタ!$B$4:$B$363,0))),0)))</f>
        <v/>
      </c>
      <c r="H33" s="30">
        <f>IF($C33="","",IF($D33="",1,$D33))</f>
        <v/>
      </c>
      <c r="I33" s="30">
        <f>IF($C33="","",IF(G33&gt;0,(G33+IFERROR(VLOOKUP(F33,機種マスタ!$Q$4:$R$6,2,FALSE),0))*H33,0))</f>
        <v/>
      </c>
    </row>
    <row r="34">
      <c r="A34" s="56" t="n"/>
      <c r="B34" s="41" t="n"/>
      <c r="C34" s="40" t="n"/>
      <c r="D34" s="41" t="n"/>
      <c r="E34" s="30">
        <f>IF($C34="","",IF($B34="YM",IFERROR(INDEX(機種マスタ!$I$4:$I$203,MATCH($C34,機種マスタ!$J$4:$J$203,0)),"未登録"),IFERROR(INDEX(機種マスタ!$A$4:$A$363,MATCH($C34,機種マスタ!$B$4:$B$363,0)),"未登録")))</f>
        <v/>
      </c>
      <c r="F34" s="30">
        <f>IF($C34="","",IF($B34="YM",IFERROR(INDEX(機種マスタ!$K$4:$K$203,MATCH($C34,機種マスタ!$J$4:$J$203,0)),"-"),IFERROR(INDEX(機種マスタ!$C$4:$C$363,MATCH($C34,機種マスタ!$B$4:$B$363,0)),"-")))</f>
        <v/>
      </c>
      <c r="G34" s="30">
        <f>IF($C34="","",IF($B34="YM",IFERROR(N(INDEX(機種マスタ!$L$4:$L$203,MATCH($C34,機種マスタ!$J$4:$J$203,0))),0),IFERROR(N(INDEX(機種マスタ!$D$4:$D$363,MATCH($C34,機種マスタ!$B$4:$B$363,0))),0)))</f>
        <v/>
      </c>
      <c r="H34" s="30">
        <f>IF($C34="","",IF($D34="",1,$D34))</f>
        <v/>
      </c>
      <c r="I34" s="30">
        <f>IF($C34="","",IF(G34&gt;0,(G34+IFERROR(VLOOKUP(F34,機種マスタ!$Q$4:$R$6,2,FALSE),0))*H34,0))</f>
        <v/>
      </c>
    </row>
    <row r="35">
      <c r="A35" s="56" t="n"/>
      <c r="B35" s="41" t="n"/>
      <c r="C35" s="40" t="n"/>
      <c r="D35" s="41" t="n"/>
      <c r="E35" s="30">
        <f>IF($C35="","",IF($B35="YM",IFERROR(INDEX(機種マスタ!$I$4:$I$203,MATCH($C35,機種マスタ!$J$4:$J$203,0)),"未登録"),IFERROR(INDEX(機種マスタ!$A$4:$A$363,MATCH($C35,機種マスタ!$B$4:$B$363,0)),"未登録")))</f>
        <v/>
      </c>
      <c r="F35" s="30">
        <f>IF($C35="","",IF($B35="YM",IFERROR(INDEX(機種マスタ!$K$4:$K$203,MATCH($C35,機種マスタ!$J$4:$J$203,0)),"-"),IFERROR(INDEX(機種マスタ!$C$4:$C$363,MATCH($C35,機種マスタ!$B$4:$B$363,0)),"-")))</f>
        <v/>
      </c>
      <c r="G35" s="30">
        <f>IF($C35="","",IF($B35="YM",IFERROR(N(INDEX(機種マスタ!$L$4:$L$203,MATCH($C35,機種マスタ!$J$4:$J$203,0))),0),IFERROR(N(INDEX(機種マスタ!$D$4:$D$363,MATCH($C35,機種マスタ!$B$4:$B$363,0))),0)))</f>
        <v/>
      </c>
      <c r="H35" s="30">
        <f>IF($C35="","",IF($D35="",1,$D35))</f>
        <v/>
      </c>
      <c r="I35" s="30">
        <f>IF($C35="","",IF(G35&gt;0,(G35+IFERROR(VLOOKUP(F35,機種マスタ!$Q$4:$R$6,2,FALSE),0))*H35,0))</f>
        <v/>
      </c>
    </row>
    <row r="36">
      <c r="A36" s="56" t="n"/>
      <c r="B36" s="41" t="n"/>
      <c r="C36" s="40" t="n"/>
      <c r="D36" s="41" t="n"/>
      <c r="E36" s="30">
        <f>IF($C36="","",IF($B36="YM",IFERROR(INDEX(機種マスタ!$I$4:$I$203,MATCH($C36,機種マスタ!$J$4:$J$203,0)),"未登録"),IFERROR(INDEX(機種マスタ!$A$4:$A$363,MATCH($C36,機種マスタ!$B$4:$B$363,0)),"未登録")))</f>
        <v/>
      </c>
      <c r="F36" s="30">
        <f>IF($C36="","",IF($B36="YM",IFERROR(INDEX(機種マスタ!$K$4:$K$203,MATCH($C36,機種マスタ!$J$4:$J$203,0)),"-"),IFERROR(INDEX(機種マスタ!$C$4:$C$363,MATCH($C36,機種マスタ!$B$4:$B$363,0)),"-")))</f>
        <v/>
      </c>
      <c r="G36" s="30">
        <f>IF($C36="","",IF($B36="YM",IFERROR(N(INDEX(機種マスタ!$L$4:$L$203,MATCH($C36,機種マスタ!$J$4:$J$203,0))),0),IFERROR(N(INDEX(機種マスタ!$D$4:$D$363,MATCH($C36,機種マスタ!$B$4:$B$363,0))),0)))</f>
        <v/>
      </c>
      <c r="H36" s="30">
        <f>IF($C36="","",IF($D36="",1,$D36))</f>
        <v/>
      </c>
      <c r="I36" s="30">
        <f>IF($C36="","",IF(G36&gt;0,(G36+IFERROR(VLOOKUP(F36,機種マスタ!$Q$4:$R$6,2,FALSE),0))*H36,0))</f>
        <v/>
      </c>
    </row>
    <row r="37">
      <c r="A37" s="56" t="n"/>
      <c r="B37" s="41" t="n"/>
      <c r="C37" s="40" t="n"/>
      <c r="D37" s="41" t="n"/>
      <c r="E37" s="30">
        <f>IF($C37="","",IF($B37="YM",IFERROR(INDEX(機種マスタ!$I$4:$I$203,MATCH($C37,機種マスタ!$J$4:$J$203,0)),"未登録"),IFERROR(INDEX(機種マスタ!$A$4:$A$363,MATCH($C37,機種マスタ!$B$4:$B$363,0)),"未登録")))</f>
        <v/>
      </c>
      <c r="F37" s="30">
        <f>IF($C37="","",IF($B37="YM",IFERROR(INDEX(機種マスタ!$K$4:$K$203,MATCH($C37,機種マスタ!$J$4:$J$203,0)),"-"),IFERROR(INDEX(機種マスタ!$C$4:$C$363,MATCH($C37,機種マスタ!$B$4:$B$363,0)),"-")))</f>
        <v/>
      </c>
      <c r="G37" s="30">
        <f>IF($C37="","",IF($B37="YM",IFERROR(N(INDEX(機種マスタ!$L$4:$L$203,MATCH($C37,機種マスタ!$J$4:$J$203,0))),0),IFERROR(N(INDEX(機種マスタ!$D$4:$D$363,MATCH($C37,機種マスタ!$B$4:$B$363,0))),0)))</f>
        <v/>
      </c>
      <c r="H37" s="30">
        <f>IF($C37="","",IF($D37="",1,$D37))</f>
        <v/>
      </c>
      <c r="I37" s="30">
        <f>IF($C37="","",IF(G37&gt;0,(G37+IFERROR(VLOOKUP(F37,機種マスタ!$Q$4:$R$6,2,FALSE),0))*H37,0))</f>
        <v/>
      </c>
    </row>
    <row r="38">
      <c r="A38" s="56" t="n"/>
      <c r="B38" s="41" t="n"/>
      <c r="C38" s="40" t="n"/>
      <c r="D38" s="41" t="n"/>
      <c r="E38" s="30">
        <f>IF($C38="","",IF($B38="YM",IFERROR(INDEX(機種マスタ!$I$4:$I$203,MATCH($C38,機種マスタ!$J$4:$J$203,0)),"未登録"),IFERROR(INDEX(機種マスタ!$A$4:$A$363,MATCH($C38,機種マスタ!$B$4:$B$363,0)),"未登録")))</f>
        <v/>
      </c>
      <c r="F38" s="30">
        <f>IF($C38="","",IF($B38="YM",IFERROR(INDEX(機種マスタ!$K$4:$K$203,MATCH($C38,機種マスタ!$J$4:$J$203,0)),"-"),IFERROR(INDEX(機種マスタ!$C$4:$C$363,MATCH($C38,機種マスタ!$B$4:$B$363,0)),"-")))</f>
        <v/>
      </c>
      <c r="G38" s="30">
        <f>IF($C38="","",IF($B38="YM",IFERROR(N(INDEX(機種マスタ!$L$4:$L$203,MATCH($C38,機種マスタ!$J$4:$J$203,0))),0),IFERROR(N(INDEX(機種マスタ!$D$4:$D$363,MATCH($C38,機種マスタ!$B$4:$B$363,0))),0)))</f>
        <v/>
      </c>
      <c r="H38" s="30">
        <f>IF($C38="","",IF($D38="",1,$D38))</f>
        <v/>
      </c>
      <c r="I38" s="30">
        <f>IF($C38="","",IF(G38&gt;0,(G38+IFERROR(VLOOKUP(F38,機種マスタ!$Q$4:$R$6,2,FALSE),0))*H38,0))</f>
        <v/>
      </c>
    </row>
    <row r="39">
      <c r="A39" s="56" t="n"/>
      <c r="B39" s="41" t="n"/>
      <c r="C39" s="40" t="n"/>
      <c r="D39" s="41" t="n"/>
      <c r="E39" s="30">
        <f>IF($C39="","",IF($B39="YM",IFERROR(INDEX(機種マスタ!$I$4:$I$203,MATCH($C39,機種マスタ!$J$4:$J$203,0)),"未登録"),IFERROR(INDEX(機種マスタ!$A$4:$A$363,MATCH($C39,機種マスタ!$B$4:$B$363,0)),"未登録")))</f>
        <v/>
      </c>
      <c r="F39" s="30">
        <f>IF($C39="","",IF($B39="YM",IFERROR(INDEX(機種マスタ!$K$4:$K$203,MATCH($C39,機種マスタ!$J$4:$J$203,0)),"-"),IFERROR(INDEX(機種マスタ!$C$4:$C$363,MATCH($C39,機種マスタ!$B$4:$B$363,0)),"-")))</f>
        <v/>
      </c>
      <c r="G39" s="30">
        <f>IF($C39="","",IF($B39="YM",IFERROR(N(INDEX(機種マスタ!$L$4:$L$203,MATCH($C39,機種マスタ!$J$4:$J$203,0))),0),IFERROR(N(INDEX(機種マスタ!$D$4:$D$363,MATCH($C39,機種マスタ!$B$4:$B$363,0))),0)))</f>
        <v/>
      </c>
      <c r="H39" s="30">
        <f>IF($C39="","",IF($D39="",1,$D39))</f>
        <v/>
      </c>
      <c r="I39" s="30">
        <f>IF($C39="","",IF(G39&gt;0,(G39+IFERROR(VLOOKUP(F39,機種マスタ!$Q$4:$R$6,2,FALSE),0))*H39,0))</f>
        <v/>
      </c>
    </row>
    <row r="40">
      <c r="A40" s="56" t="n"/>
      <c r="B40" s="41" t="n"/>
      <c r="C40" s="40" t="n"/>
      <c r="D40" s="41" t="n"/>
      <c r="E40" s="30">
        <f>IF($C40="","",IF($B40="YM",IFERROR(INDEX(機種マスタ!$I$4:$I$203,MATCH($C40,機種マスタ!$J$4:$J$203,0)),"未登録"),IFERROR(INDEX(機種マスタ!$A$4:$A$363,MATCH($C40,機種マスタ!$B$4:$B$363,0)),"未登録")))</f>
        <v/>
      </c>
      <c r="F40" s="30">
        <f>IF($C40="","",IF($B40="YM",IFERROR(INDEX(機種マスタ!$K$4:$K$203,MATCH($C40,機種マスタ!$J$4:$J$203,0)),"-"),IFERROR(INDEX(機種マスタ!$C$4:$C$363,MATCH($C40,機種マスタ!$B$4:$B$363,0)),"-")))</f>
        <v/>
      </c>
      <c r="G40" s="30">
        <f>IF($C40="","",IF($B40="YM",IFERROR(N(INDEX(機種マスタ!$L$4:$L$203,MATCH($C40,機種マスタ!$J$4:$J$203,0))),0),IFERROR(N(INDEX(機種マスタ!$D$4:$D$363,MATCH($C40,機種マスタ!$B$4:$B$363,0))),0)))</f>
        <v/>
      </c>
      <c r="H40" s="30">
        <f>IF($C40="","",IF($D40="",1,$D40))</f>
        <v/>
      </c>
      <c r="I40" s="30">
        <f>IF($C40="","",IF(G40&gt;0,(G40+IFERROR(VLOOKUP(F40,機種マスタ!$Q$4:$R$6,2,FALSE),0))*H40,0))</f>
        <v/>
      </c>
    </row>
    <row r="41">
      <c r="A41" s="56" t="n"/>
      <c r="B41" s="41" t="n"/>
      <c r="C41" s="40" t="n"/>
      <c r="D41" s="41" t="n"/>
      <c r="E41" s="30">
        <f>IF($C41="","",IF($B41="YM",IFERROR(INDEX(機種マスタ!$I$4:$I$203,MATCH($C41,機種マスタ!$J$4:$J$203,0)),"未登録"),IFERROR(INDEX(機種マスタ!$A$4:$A$363,MATCH($C41,機種マスタ!$B$4:$B$363,0)),"未登録")))</f>
        <v/>
      </c>
      <c r="F41" s="30">
        <f>IF($C41="","",IF($B41="YM",IFERROR(INDEX(機種マスタ!$K$4:$K$203,MATCH($C41,機種マスタ!$J$4:$J$203,0)),"-"),IFERROR(INDEX(機種マスタ!$C$4:$C$363,MATCH($C41,機種マスタ!$B$4:$B$363,0)),"-")))</f>
        <v/>
      </c>
      <c r="G41" s="30">
        <f>IF($C41="","",IF($B41="YM",IFERROR(N(INDEX(機種マスタ!$L$4:$L$203,MATCH($C41,機種マスタ!$J$4:$J$203,0))),0),IFERROR(N(INDEX(機種マスタ!$D$4:$D$363,MATCH($C41,機種マスタ!$B$4:$B$363,0))),0)))</f>
        <v/>
      </c>
      <c r="H41" s="30">
        <f>IF($C41="","",IF($D41="",1,$D41))</f>
        <v/>
      </c>
      <c r="I41" s="30">
        <f>IF($C41="","",IF(G41&gt;0,(G41+IFERROR(VLOOKUP(F41,機種マスタ!$Q$4:$R$6,2,FALSE),0))*H41,0))</f>
        <v/>
      </c>
    </row>
    <row r="42">
      <c r="A42" s="56" t="n"/>
      <c r="B42" s="41" t="n"/>
      <c r="C42" s="40" t="n"/>
      <c r="D42" s="41" t="n"/>
      <c r="E42" s="30">
        <f>IF($C42="","",IF($B42="YM",IFERROR(INDEX(機種マスタ!$I$4:$I$203,MATCH($C42,機種マスタ!$J$4:$J$203,0)),"未登録"),IFERROR(INDEX(機種マスタ!$A$4:$A$363,MATCH($C42,機種マスタ!$B$4:$B$363,0)),"未登録")))</f>
        <v/>
      </c>
      <c r="F42" s="30">
        <f>IF($C42="","",IF($B42="YM",IFERROR(INDEX(機種マスタ!$K$4:$K$203,MATCH($C42,機種マスタ!$J$4:$J$203,0)),"-"),IFERROR(INDEX(機種マスタ!$C$4:$C$363,MATCH($C42,機種マスタ!$B$4:$B$363,0)),"-")))</f>
        <v/>
      </c>
      <c r="G42" s="30">
        <f>IF($C42="","",IF($B42="YM",IFERROR(N(INDEX(機種マスタ!$L$4:$L$203,MATCH($C42,機種マスタ!$J$4:$J$203,0))),0),IFERROR(N(INDEX(機種マスタ!$D$4:$D$363,MATCH($C42,機種マスタ!$B$4:$B$363,0))),0)))</f>
        <v/>
      </c>
      <c r="H42" s="30">
        <f>IF($C42="","",IF($D42="",1,$D42))</f>
        <v/>
      </c>
      <c r="I42" s="30">
        <f>IF($C42="","",IF(G42&gt;0,(G42+IFERROR(VLOOKUP(F42,機種マスタ!$Q$4:$R$6,2,FALSE),0))*H42,0))</f>
        <v/>
      </c>
    </row>
    <row r="43">
      <c r="A43" s="56" t="n"/>
      <c r="B43" s="41" t="n"/>
      <c r="C43" s="40" t="n"/>
      <c r="D43" s="41" t="n"/>
      <c r="E43" s="30">
        <f>IF($C43="","",IF($B43="YM",IFERROR(INDEX(機種マスタ!$I$4:$I$203,MATCH($C43,機種マスタ!$J$4:$J$203,0)),"未登録"),IFERROR(INDEX(機種マスタ!$A$4:$A$363,MATCH($C43,機種マスタ!$B$4:$B$363,0)),"未登録")))</f>
        <v/>
      </c>
      <c r="F43" s="30">
        <f>IF($C43="","",IF($B43="YM",IFERROR(INDEX(機種マスタ!$K$4:$K$203,MATCH($C43,機種マスタ!$J$4:$J$203,0)),"-"),IFERROR(INDEX(機種マスタ!$C$4:$C$363,MATCH($C43,機種マスタ!$B$4:$B$363,0)),"-")))</f>
        <v/>
      </c>
      <c r="G43" s="30">
        <f>IF($C43="","",IF($B43="YM",IFERROR(N(INDEX(機種マスタ!$L$4:$L$203,MATCH($C43,機種マスタ!$J$4:$J$203,0))),0),IFERROR(N(INDEX(機種マスタ!$D$4:$D$363,MATCH($C43,機種マスタ!$B$4:$B$363,0))),0)))</f>
        <v/>
      </c>
      <c r="H43" s="30">
        <f>IF($C43="","",IF($D43="",1,$D43))</f>
        <v/>
      </c>
      <c r="I43" s="30">
        <f>IF($C43="","",IF(G43&gt;0,(G43+IFERROR(VLOOKUP(F43,機種マスタ!$Q$4:$R$6,2,FALSE),0))*H43,0))</f>
        <v/>
      </c>
    </row>
    <row r="44">
      <c r="A44" s="56" t="n"/>
      <c r="B44" s="41" t="n"/>
      <c r="C44" s="40" t="n"/>
      <c r="D44" s="41" t="n"/>
      <c r="E44" s="30">
        <f>IF($C44="","",IF($B44="YM",IFERROR(INDEX(機種マスタ!$I$4:$I$203,MATCH($C44,機種マスタ!$J$4:$J$203,0)),"未登録"),IFERROR(INDEX(機種マスタ!$A$4:$A$363,MATCH($C44,機種マスタ!$B$4:$B$363,0)),"未登録")))</f>
        <v/>
      </c>
      <c r="F44" s="30">
        <f>IF($C44="","",IF($B44="YM",IFERROR(INDEX(機種マスタ!$K$4:$K$203,MATCH($C44,機種マスタ!$J$4:$J$203,0)),"-"),IFERROR(INDEX(機種マスタ!$C$4:$C$363,MATCH($C44,機種マスタ!$B$4:$B$363,0)),"-")))</f>
        <v/>
      </c>
      <c r="G44" s="30">
        <f>IF($C44="","",IF($B44="YM",IFERROR(N(INDEX(機種マスタ!$L$4:$L$203,MATCH($C44,機種マスタ!$J$4:$J$203,0))),0),IFERROR(N(INDEX(機種マスタ!$D$4:$D$363,MATCH($C44,機種マスタ!$B$4:$B$363,0))),0)))</f>
        <v/>
      </c>
      <c r="H44" s="30">
        <f>IF($C44="","",IF($D44="",1,$D44))</f>
        <v/>
      </c>
      <c r="I44" s="30">
        <f>IF($C44="","",IF(G44&gt;0,(G44+IFERROR(VLOOKUP(F44,機種マスタ!$Q$4:$R$6,2,FALSE),0))*H44,0))</f>
        <v/>
      </c>
    </row>
    <row r="45">
      <c r="A45" s="56" t="n"/>
      <c r="B45" s="41" t="n"/>
      <c r="C45" s="40" t="n"/>
      <c r="D45" s="41" t="n"/>
      <c r="E45" s="30">
        <f>IF($C45="","",IF($B45="YM",IFERROR(INDEX(機種マスタ!$I$4:$I$203,MATCH($C45,機種マスタ!$J$4:$J$203,0)),"未登録"),IFERROR(INDEX(機種マスタ!$A$4:$A$363,MATCH($C45,機種マスタ!$B$4:$B$363,0)),"未登録")))</f>
        <v/>
      </c>
      <c r="F45" s="30">
        <f>IF($C45="","",IF($B45="YM",IFERROR(INDEX(機種マスタ!$K$4:$K$203,MATCH($C45,機種マスタ!$J$4:$J$203,0)),"-"),IFERROR(INDEX(機種マスタ!$C$4:$C$363,MATCH($C45,機種マスタ!$B$4:$B$363,0)),"-")))</f>
        <v/>
      </c>
      <c r="G45" s="30">
        <f>IF($C45="","",IF($B45="YM",IFERROR(N(INDEX(機種マスタ!$L$4:$L$203,MATCH($C45,機種マスタ!$J$4:$J$203,0))),0),IFERROR(N(INDEX(機種マスタ!$D$4:$D$363,MATCH($C45,機種マスタ!$B$4:$B$363,0))),0)))</f>
        <v/>
      </c>
      <c r="H45" s="30">
        <f>IF($C45="","",IF($D45="",1,$D45))</f>
        <v/>
      </c>
      <c r="I45" s="30">
        <f>IF($C45="","",IF(G45&gt;0,(G45+IFERROR(VLOOKUP(F45,機種マスタ!$Q$4:$R$6,2,FALSE),0))*H45,0))</f>
        <v/>
      </c>
    </row>
    <row r="46">
      <c r="A46" s="56" t="n"/>
      <c r="B46" s="41" t="n"/>
      <c r="C46" s="40" t="n"/>
      <c r="D46" s="41" t="n"/>
      <c r="E46" s="30">
        <f>IF($C46="","",IF($B46="YM",IFERROR(INDEX(機種マスタ!$I$4:$I$203,MATCH($C46,機種マスタ!$J$4:$J$203,0)),"未登録"),IFERROR(INDEX(機種マスタ!$A$4:$A$363,MATCH($C46,機種マスタ!$B$4:$B$363,0)),"未登録")))</f>
        <v/>
      </c>
      <c r="F46" s="30">
        <f>IF($C46="","",IF($B46="YM",IFERROR(INDEX(機種マスタ!$K$4:$K$203,MATCH($C46,機種マスタ!$J$4:$J$203,0)),"-"),IFERROR(INDEX(機種マスタ!$C$4:$C$363,MATCH($C46,機種マスタ!$B$4:$B$363,0)),"-")))</f>
        <v/>
      </c>
      <c r="G46" s="30">
        <f>IF($C46="","",IF($B46="YM",IFERROR(N(INDEX(機種マスタ!$L$4:$L$203,MATCH($C46,機種マスタ!$J$4:$J$203,0))),0),IFERROR(N(INDEX(機種マスタ!$D$4:$D$363,MATCH($C46,機種マスタ!$B$4:$B$363,0))),0)))</f>
        <v/>
      </c>
      <c r="H46" s="30">
        <f>IF($C46="","",IF($D46="",1,$D46))</f>
        <v/>
      </c>
      <c r="I46" s="30">
        <f>IF($C46="","",IF(G46&gt;0,(G46+IFERROR(VLOOKUP(F46,機種マスタ!$Q$4:$R$6,2,FALSE),0))*H46,0))</f>
        <v/>
      </c>
    </row>
    <row r="47">
      <c r="A47" s="56" t="n"/>
      <c r="B47" s="41" t="n"/>
      <c r="C47" s="40" t="n"/>
      <c r="D47" s="41" t="n"/>
      <c r="E47" s="30">
        <f>IF($C47="","",IF($B47="YM",IFERROR(INDEX(機種マスタ!$I$4:$I$203,MATCH($C47,機種マスタ!$J$4:$J$203,0)),"未登録"),IFERROR(INDEX(機種マスタ!$A$4:$A$363,MATCH($C47,機種マスタ!$B$4:$B$363,0)),"未登録")))</f>
        <v/>
      </c>
      <c r="F47" s="30">
        <f>IF($C47="","",IF($B47="YM",IFERROR(INDEX(機種マスタ!$K$4:$K$203,MATCH($C47,機種マスタ!$J$4:$J$203,0)),"-"),IFERROR(INDEX(機種マスタ!$C$4:$C$363,MATCH($C47,機種マスタ!$B$4:$B$363,0)),"-")))</f>
        <v/>
      </c>
      <c r="G47" s="30">
        <f>IF($C47="","",IF($B47="YM",IFERROR(N(INDEX(機種マスタ!$L$4:$L$203,MATCH($C47,機種マスタ!$J$4:$J$203,0))),0),IFERROR(N(INDEX(機種マスタ!$D$4:$D$363,MATCH($C47,機種マスタ!$B$4:$B$363,0))),0)))</f>
        <v/>
      </c>
      <c r="H47" s="30">
        <f>IF($C47="","",IF($D47="",1,$D47))</f>
        <v/>
      </c>
      <c r="I47" s="30">
        <f>IF($C47="","",IF(G47&gt;0,(G47+IFERROR(VLOOKUP(F47,機種マスタ!$Q$4:$R$6,2,FALSE),0))*H47,0))</f>
        <v/>
      </c>
    </row>
    <row r="48">
      <c r="A48" s="56" t="n"/>
      <c r="B48" s="41" t="n"/>
      <c r="C48" s="40" t="n"/>
      <c r="D48" s="41" t="n"/>
      <c r="E48" s="30">
        <f>IF($C48="","",IF($B48="YM",IFERROR(INDEX(機種マスタ!$I$4:$I$203,MATCH($C48,機種マスタ!$J$4:$J$203,0)),"未登録"),IFERROR(INDEX(機種マスタ!$A$4:$A$363,MATCH($C48,機種マスタ!$B$4:$B$363,0)),"未登録")))</f>
        <v/>
      </c>
      <c r="F48" s="30">
        <f>IF($C48="","",IF($B48="YM",IFERROR(INDEX(機種マスタ!$K$4:$K$203,MATCH($C48,機種マスタ!$J$4:$J$203,0)),"-"),IFERROR(INDEX(機種マスタ!$C$4:$C$363,MATCH($C48,機種マスタ!$B$4:$B$363,0)),"-")))</f>
        <v/>
      </c>
      <c r="G48" s="30">
        <f>IF($C48="","",IF($B48="YM",IFERROR(N(INDEX(機種マスタ!$L$4:$L$203,MATCH($C48,機種マスタ!$J$4:$J$203,0))),0),IFERROR(N(INDEX(機種マスタ!$D$4:$D$363,MATCH($C48,機種マスタ!$B$4:$B$363,0))),0)))</f>
        <v/>
      </c>
      <c r="H48" s="30">
        <f>IF($C48="","",IF($D48="",1,$D48))</f>
        <v/>
      </c>
      <c r="I48" s="30">
        <f>IF($C48="","",IF(G48&gt;0,(G48+IFERROR(VLOOKUP(F48,機種マスタ!$Q$4:$R$6,2,FALSE),0))*H48,0))</f>
        <v/>
      </c>
    </row>
    <row r="49">
      <c r="A49" s="56" t="n"/>
      <c r="B49" s="41" t="n"/>
      <c r="C49" s="40" t="n"/>
      <c r="D49" s="41" t="n"/>
      <c r="E49" s="30">
        <f>IF($C49="","",IF($B49="YM",IFERROR(INDEX(機種マスタ!$I$4:$I$203,MATCH($C49,機種マスタ!$J$4:$J$203,0)),"未登録"),IFERROR(INDEX(機種マスタ!$A$4:$A$363,MATCH($C49,機種マスタ!$B$4:$B$363,0)),"未登録")))</f>
        <v/>
      </c>
      <c r="F49" s="30">
        <f>IF($C49="","",IF($B49="YM",IFERROR(INDEX(機種マスタ!$K$4:$K$203,MATCH($C49,機種マスタ!$J$4:$J$203,0)),"-"),IFERROR(INDEX(機種マスタ!$C$4:$C$363,MATCH($C49,機種マスタ!$B$4:$B$363,0)),"-")))</f>
        <v/>
      </c>
      <c r="G49" s="30">
        <f>IF($C49="","",IF($B49="YM",IFERROR(N(INDEX(機種マスタ!$L$4:$L$203,MATCH($C49,機種マスタ!$J$4:$J$203,0))),0),IFERROR(N(INDEX(機種マスタ!$D$4:$D$363,MATCH($C49,機種マスタ!$B$4:$B$363,0))),0)))</f>
        <v/>
      </c>
      <c r="H49" s="30">
        <f>IF($C49="","",IF($D49="",1,$D49))</f>
        <v/>
      </c>
      <c r="I49" s="30">
        <f>IF($C49="","",IF(G49&gt;0,(G49+IFERROR(VLOOKUP(F49,機種マスタ!$Q$4:$R$6,2,FALSE),0))*H49,0))</f>
        <v/>
      </c>
    </row>
    <row r="50">
      <c r="A50" s="56" t="n"/>
      <c r="B50" s="41" t="n"/>
      <c r="C50" s="40" t="n"/>
      <c r="D50" s="41" t="n"/>
      <c r="E50" s="30">
        <f>IF($C50="","",IF($B50="YM",IFERROR(INDEX(機種マスタ!$I$4:$I$203,MATCH($C50,機種マスタ!$J$4:$J$203,0)),"未登録"),IFERROR(INDEX(機種マスタ!$A$4:$A$363,MATCH($C50,機種マスタ!$B$4:$B$363,0)),"未登録")))</f>
        <v/>
      </c>
      <c r="F50" s="30">
        <f>IF($C50="","",IF($B50="YM",IFERROR(INDEX(機種マスタ!$K$4:$K$203,MATCH($C50,機種マスタ!$J$4:$J$203,0)),"-"),IFERROR(INDEX(機種マスタ!$C$4:$C$363,MATCH($C50,機種マスタ!$B$4:$B$363,0)),"-")))</f>
        <v/>
      </c>
      <c r="G50" s="30">
        <f>IF($C50="","",IF($B50="YM",IFERROR(N(INDEX(機種マスタ!$L$4:$L$203,MATCH($C50,機種マスタ!$J$4:$J$203,0))),0),IFERROR(N(INDEX(機種マスタ!$D$4:$D$363,MATCH($C50,機種マスタ!$B$4:$B$363,0))),0)))</f>
        <v/>
      </c>
      <c r="H50" s="30">
        <f>IF($C50="","",IF($D50="",1,$D50))</f>
        <v/>
      </c>
      <c r="I50" s="30">
        <f>IF($C50="","",IF(G50&gt;0,(G50+IFERROR(VLOOKUP(F50,機種マスタ!$Q$4:$R$6,2,FALSE),0))*H50,0))</f>
        <v/>
      </c>
    </row>
    <row r="51">
      <c r="A51" s="56" t="n"/>
      <c r="B51" s="41" t="n"/>
      <c r="C51" s="40" t="n"/>
      <c r="D51" s="41" t="n"/>
      <c r="E51" s="30">
        <f>IF($C51="","",IF($B51="YM",IFERROR(INDEX(機種マスタ!$I$4:$I$203,MATCH($C51,機種マスタ!$J$4:$J$203,0)),"未登録"),IFERROR(INDEX(機種マスタ!$A$4:$A$363,MATCH($C51,機種マスタ!$B$4:$B$363,0)),"未登録")))</f>
        <v/>
      </c>
      <c r="F51" s="30">
        <f>IF($C51="","",IF($B51="YM",IFERROR(INDEX(機種マスタ!$K$4:$K$203,MATCH($C51,機種マスタ!$J$4:$J$203,0)),"-"),IFERROR(INDEX(機種マスタ!$C$4:$C$363,MATCH($C51,機種マスタ!$B$4:$B$363,0)),"-")))</f>
        <v/>
      </c>
      <c r="G51" s="30">
        <f>IF($C51="","",IF($B51="YM",IFERROR(N(INDEX(機種マスタ!$L$4:$L$203,MATCH($C51,機種マスタ!$J$4:$J$203,0))),0),IFERROR(N(INDEX(機種マスタ!$D$4:$D$363,MATCH($C51,機種マスタ!$B$4:$B$363,0))),0)))</f>
        <v/>
      </c>
      <c r="H51" s="30">
        <f>IF($C51="","",IF($D51="",1,$D51))</f>
        <v/>
      </c>
      <c r="I51" s="30">
        <f>IF($C51="","",IF(G51&gt;0,(G51+IFERROR(VLOOKUP(F51,機種マスタ!$Q$4:$R$6,2,FALSE),0))*H51,0))</f>
        <v/>
      </c>
    </row>
    <row r="52">
      <c r="A52" s="56" t="n"/>
      <c r="B52" s="41" t="n"/>
      <c r="C52" s="40" t="n"/>
      <c r="D52" s="41" t="n"/>
      <c r="E52" s="30">
        <f>IF($C52="","",IF($B52="YM",IFERROR(INDEX(機種マスタ!$I$4:$I$203,MATCH($C52,機種マスタ!$J$4:$J$203,0)),"未登録"),IFERROR(INDEX(機種マスタ!$A$4:$A$363,MATCH($C52,機種マスタ!$B$4:$B$363,0)),"未登録")))</f>
        <v/>
      </c>
      <c r="F52" s="30">
        <f>IF($C52="","",IF($B52="YM",IFERROR(INDEX(機種マスタ!$K$4:$K$203,MATCH($C52,機種マスタ!$J$4:$J$203,0)),"-"),IFERROR(INDEX(機種マスタ!$C$4:$C$363,MATCH($C52,機種マスタ!$B$4:$B$363,0)),"-")))</f>
        <v/>
      </c>
      <c r="G52" s="30">
        <f>IF($C52="","",IF($B52="YM",IFERROR(N(INDEX(機種マスタ!$L$4:$L$203,MATCH($C52,機種マスタ!$J$4:$J$203,0))),0),IFERROR(N(INDEX(機種マスタ!$D$4:$D$363,MATCH($C52,機種マスタ!$B$4:$B$363,0))),0)))</f>
        <v/>
      </c>
      <c r="H52" s="30">
        <f>IF($C52="","",IF($D52="",1,$D52))</f>
        <v/>
      </c>
      <c r="I52" s="30">
        <f>IF($C52="","",IF(G52&gt;0,(G52+IFERROR(VLOOKUP(F52,機種マスタ!$Q$4:$R$6,2,FALSE),0))*H52,0))</f>
        <v/>
      </c>
    </row>
    <row r="53">
      <c r="A53" s="56" t="n"/>
      <c r="B53" s="41" t="n"/>
      <c r="C53" s="40" t="n"/>
      <c r="D53" s="41" t="n"/>
      <c r="E53" s="30">
        <f>IF($C53="","",IF($B53="YM",IFERROR(INDEX(機種マスタ!$I$4:$I$203,MATCH($C53,機種マスタ!$J$4:$J$203,0)),"未登録"),IFERROR(INDEX(機種マスタ!$A$4:$A$363,MATCH($C53,機種マスタ!$B$4:$B$363,0)),"未登録")))</f>
        <v/>
      </c>
      <c r="F53" s="30">
        <f>IF($C53="","",IF($B53="YM",IFERROR(INDEX(機種マスタ!$K$4:$K$203,MATCH($C53,機種マスタ!$J$4:$J$203,0)),"-"),IFERROR(INDEX(機種マスタ!$C$4:$C$363,MATCH($C53,機種マスタ!$B$4:$B$363,0)),"-")))</f>
        <v/>
      </c>
      <c r="G53" s="30">
        <f>IF($C53="","",IF($B53="YM",IFERROR(N(INDEX(機種マスタ!$L$4:$L$203,MATCH($C53,機種マスタ!$J$4:$J$203,0))),0),IFERROR(N(INDEX(機種マスタ!$D$4:$D$363,MATCH($C53,機種マスタ!$B$4:$B$363,0))),0)))</f>
        <v/>
      </c>
      <c r="H53" s="30">
        <f>IF($C53="","",IF($D53="",1,$D53))</f>
        <v/>
      </c>
      <c r="I53" s="30">
        <f>IF($C53="","",IF(G53&gt;0,(G53+IFERROR(VLOOKUP(F53,機種マスタ!$Q$4:$R$6,2,FALSE),0))*H53,0))</f>
        <v/>
      </c>
    </row>
    <row r="54">
      <c r="A54" s="56" t="n"/>
      <c r="B54" s="41" t="n"/>
      <c r="C54" s="40" t="n"/>
      <c r="D54" s="41" t="n"/>
      <c r="E54" s="30">
        <f>IF($C54="","",IF($B54="YM",IFERROR(INDEX(機種マスタ!$I$4:$I$203,MATCH($C54,機種マスタ!$J$4:$J$203,0)),"未登録"),IFERROR(INDEX(機種マスタ!$A$4:$A$363,MATCH($C54,機種マスタ!$B$4:$B$363,0)),"未登録")))</f>
        <v/>
      </c>
      <c r="F54" s="30">
        <f>IF($C54="","",IF($B54="YM",IFERROR(INDEX(機種マスタ!$K$4:$K$203,MATCH($C54,機種マスタ!$J$4:$J$203,0)),"-"),IFERROR(INDEX(機種マスタ!$C$4:$C$363,MATCH($C54,機種マスタ!$B$4:$B$363,0)),"-")))</f>
        <v/>
      </c>
      <c r="G54" s="30">
        <f>IF($C54="","",IF($B54="YM",IFERROR(N(INDEX(機種マスタ!$L$4:$L$203,MATCH($C54,機種マスタ!$J$4:$J$203,0))),0),IFERROR(N(INDEX(機種マスタ!$D$4:$D$363,MATCH($C54,機種マスタ!$B$4:$B$363,0))),0)))</f>
        <v/>
      </c>
      <c r="H54" s="30">
        <f>IF($C54="","",IF($D54="",1,$D54))</f>
        <v/>
      </c>
      <c r="I54" s="30">
        <f>IF($C54="","",IF(G54&gt;0,(G54+IFERROR(VLOOKUP(F54,機種マスタ!$Q$4:$R$6,2,FALSE),0))*H54,0))</f>
        <v/>
      </c>
    </row>
    <row r="55">
      <c r="A55" s="56" t="n"/>
      <c r="B55" s="41" t="n"/>
      <c r="C55" s="40" t="n"/>
      <c r="D55" s="41" t="n"/>
      <c r="E55" s="30">
        <f>IF($C55="","",IF($B55="YM",IFERROR(INDEX(機種マスタ!$I$4:$I$203,MATCH($C55,機種マスタ!$J$4:$J$203,0)),"未登録"),IFERROR(INDEX(機種マスタ!$A$4:$A$363,MATCH($C55,機種マスタ!$B$4:$B$363,0)),"未登録")))</f>
        <v/>
      </c>
      <c r="F55" s="30">
        <f>IF($C55="","",IF($B55="YM",IFERROR(INDEX(機種マスタ!$K$4:$K$203,MATCH($C55,機種マスタ!$J$4:$J$203,0)),"-"),IFERROR(INDEX(機種マスタ!$C$4:$C$363,MATCH($C55,機種マスタ!$B$4:$B$363,0)),"-")))</f>
        <v/>
      </c>
      <c r="G55" s="30">
        <f>IF($C55="","",IF($B55="YM",IFERROR(N(INDEX(機種マスタ!$L$4:$L$203,MATCH($C55,機種マスタ!$J$4:$J$203,0))),0),IFERROR(N(INDEX(機種マスタ!$D$4:$D$363,MATCH($C55,機種マスタ!$B$4:$B$363,0))),0)))</f>
        <v/>
      </c>
      <c r="H55" s="30">
        <f>IF($C55="","",IF($D55="",1,$D55))</f>
        <v/>
      </c>
      <c r="I55" s="30">
        <f>IF($C55="","",IF(G55&gt;0,(G55+IFERROR(VLOOKUP(F55,機種マスタ!$Q$4:$R$6,2,FALSE),0))*H55,0))</f>
        <v/>
      </c>
    </row>
    <row r="56">
      <c r="A56" s="56" t="n"/>
      <c r="B56" s="41" t="n"/>
      <c r="C56" s="40" t="n"/>
      <c r="D56" s="41" t="n"/>
      <c r="E56" s="30">
        <f>IF($C56="","",IF($B56="YM",IFERROR(INDEX(機種マスタ!$I$4:$I$203,MATCH($C56,機種マスタ!$J$4:$J$203,0)),"未登録"),IFERROR(INDEX(機種マスタ!$A$4:$A$363,MATCH($C56,機種マスタ!$B$4:$B$363,0)),"未登録")))</f>
        <v/>
      </c>
      <c r="F56" s="30">
        <f>IF($C56="","",IF($B56="YM",IFERROR(INDEX(機種マスタ!$K$4:$K$203,MATCH($C56,機種マスタ!$J$4:$J$203,0)),"-"),IFERROR(INDEX(機種マスタ!$C$4:$C$363,MATCH($C56,機種マスタ!$B$4:$B$363,0)),"-")))</f>
        <v/>
      </c>
      <c r="G56" s="30">
        <f>IF($C56="","",IF($B56="YM",IFERROR(N(INDEX(機種マスタ!$L$4:$L$203,MATCH($C56,機種マスタ!$J$4:$J$203,0))),0),IFERROR(N(INDEX(機種マスタ!$D$4:$D$363,MATCH($C56,機種マスタ!$B$4:$B$363,0))),0)))</f>
        <v/>
      </c>
      <c r="H56" s="30">
        <f>IF($C56="","",IF($D56="",1,$D56))</f>
        <v/>
      </c>
      <c r="I56" s="30">
        <f>IF($C56="","",IF(G56&gt;0,(G56+IFERROR(VLOOKUP(F56,機種マスタ!$Q$4:$R$6,2,FALSE),0))*H56,0))</f>
        <v/>
      </c>
    </row>
    <row r="57">
      <c r="A57" s="56" t="n"/>
      <c r="B57" s="41" t="n"/>
      <c r="C57" s="40" t="n"/>
      <c r="D57" s="41" t="n"/>
      <c r="E57" s="30">
        <f>IF($C57="","",IF($B57="YM",IFERROR(INDEX(機種マスタ!$I$4:$I$203,MATCH($C57,機種マスタ!$J$4:$J$203,0)),"未登録"),IFERROR(INDEX(機種マスタ!$A$4:$A$363,MATCH($C57,機種マスタ!$B$4:$B$363,0)),"未登録")))</f>
        <v/>
      </c>
      <c r="F57" s="30">
        <f>IF($C57="","",IF($B57="YM",IFERROR(INDEX(機種マスタ!$K$4:$K$203,MATCH($C57,機種マスタ!$J$4:$J$203,0)),"-"),IFERROR(INDEX(機種マスタ!$C$4:$C$363,MATCH($C57,機種マスタ!$B$4:$B$363,0)),"-")))</f>
        <v/>
      </c>
      <c r="G57" s="30">
        <f>IF($C57="","",IF($B57="YM",IFERROR(N(INDEX(機種マスタ!$L$4:$L$203,MATCH($C57,機種マスタ!$J$4:$J$203,0))),0),IFERROR(N(INDEX(機種マスタ!$D$4:$D$363,MATCH($C57,機種マスタ!$B$4:$B$363,0))),0)))</f>
        <v/>
      </c>
      <c r="H57" s="30">
        <f>IF($C57="","",IF($D57="",1,$D57))</f>
        <v/>
      </c>
      <c r="I57" s="30">
        <f>IF($C57="","",IF(G57&gt;0,(G57+IFERROR(VLOOKUP(F57,機種マスタ!$Q$4:$R$6,2,FALSE),0))*H57,0))</f>
        <v/>
      </c>
    </row>
    <row r="58">
      <c r="A58" s="56" t="n"/>
      <c r="B58" s="41" t="n"/>
      <c r="C58" s="40" t="n"/>
      <c r="D58" s="41" t="n"/>
      <c r="E58" s="30">
        <f>IF($C58="","",IF($B58="YM",IFERROR(INDEX(機種マスタ!$I$4:$I$203,MATCH($C58,機種マスタ!$J$4:$J$203,0)),"未登録"),IFERROR(INDEX(機種マスタ!$A$4:$A$363,MATCH($C58,機種マスタ!$B$4:$B$363,0)),"未登録")))</f>
        <v/>
      </c>
      <c r="F58" s="30">
        <f>IF($C58="","",IF($B58="YM",IFERROR(INDEX(機種マスタ!$K$4:$K$203,MATCH($C58,機種マスタ!$J$4:$J$203,0)),"-"),IFERROR(INDEX(機種マスタ!$C$4:$C$363,MATCH($C58,機種マスタ!$B$4:$B$363,0)),"-")))</f>
        <v/>
      </c>
      <c r="G58" s="30">
        <f>IF($C58="","",IF($B58="YM",IFERROR(N(INDEX(機種マスタ!$L$4:$L$203,MATCH($C58,機種マスタ!$J$4:$J$203,0))),0),IFERROR(N(INDEX(機種マスタ!$D$4:$D$363,MATCH($C58,機種マスタ!$B$4:$B$363,0))),0)))</f>
        <v/>
      </c>
      <c r="H58" s="30">
        <f>IF($C58="","",IF($D58="",1,$D58))</f>
        <v/>
      </c>
      <c r="I58" s="30">
        <f>IF($C58="","",IF(G58&gt;0,(G58+IFERROR(VLOOKUP(F58,機種マスタ!$Q$4:$R$6,2,FALSE),0))*H58,0))</f>
        <v/>
      </c>
    </row>
    <row r="59">
      <c r="A59" s="56" t="n"/>
      <c r="B59" s="41" t="n"/>
      <c r="C59" s="40" t="n"/>
      <c r="D59" s="41" t="n"/>
      <c r="E59" s="30">
        <f>IF($C59="","",IF($B59="YM",IFERROR(INDEX(機種マスタ!$I$4:$I$203,MATCH($C59,機種マスタ!$J$4:$J$203,0)),"未登録"),IFERROR(INDEX(機種マスタ!$A$4:$A$363,MATCH($C59,機種マスタ!$B$4:$B$363,0)),"未登録")))</f>
        <v/>
      </c>
      <c r="F59" s="30">
        <f>IF($C59="","",IF($B59="YM",IFERROR(INDEX(機種マスタ!$K$4:$K$203,MATCH($C59,機種マスタ!$J$4:$J$203,0)),"-"),IFERROR(INDEX(機種マスタ!$C$4:$C$363,MATCH($C59,機種マスタ!$B$4:$B$363,0)),"-")))</f>
        <v/>
      </c>
      <c r="G59" s="30">
        <f>IF($C59="","",IF($B59="YM",IFERROR(N(INDEX(機種マスタ!$L$4:$L$203,MATCH($C59,機種マスタ!$J$4:$J$203,0))),0),IFERROR(N(INDEX(機種マスタ!$D$4:$D$363,MATCH($C59,機種マスタ!$B$4:$B$363,0))),0)))</f>
        <v/>
      </c>
      <c r="H59" s="30">
        <f>IF($C59="","",IF($D59="",1,$D59))</f>
        <v/>
      </c>
      <c r="I59" s="30">
        <f>IF($C59="","",IF(G59&gt;0,(G59+IFERROR(VLOOKUP(F59,機種マスタ!$Q$4:$R$6,2,FALSE),0))*H59,0))</f>
        <v/>
      </c>
    </row>
    <row r="60">
      <c r="A60" s="56" t="n"/>
      <c r="B60" s="41" t="n"/>
      <c r="C60" s="40" t="n"/>
      <c r="D60" s="41" t="n"/>
      <c r="E60" s="30">
        <f>IF($C60="","",IF($B60="YM",IFERROR(INDEX(機種マスタ!$I$4:$I$203,MATCH($C60,機種マスタ!$J$4:$J$203,0)),"未登録"),IFERROR(INDEX(機種マスタ!$A$4:$A$363,MATCH($C60,機種マスタ!$B$4:$B$363,0)),"未登録")))</f>
        <v/>
      </c>
      <c r="F60" s="30">
        <f>IF($C60="","",IF($B60="YM",IFERROR(INDEX(機種マスタ!$K$4:$K$203,MATCH($C60,機種マスタ!$J$4:$J$203,0)),"-"),IFERROR(INDEX(機種マスタ!$C$4:$C$363,MATCH($C60,機種マスタ!$B$4:$B$363,0)),"-")))</f>
        <v/>
      </c>
      <c r="G60" s="30">
        <f>IF($C60="","",IF($B60="YM",IFERROR(N(INDEX(機種マスタ!$L$4:$L$203,MATCH($C60,機種マスタ!$J$4:$J$203,0))),0),IFERROR(N(INDEX(機種マスタ!$D$4:$D$363,MATCH($C60,機種マスタ!$B$4:$B$363,0))),0)))</f>
        <v/>
      </c>
      <c r="H60" s="30">
        <f>IF($C60="","",IF($D60="",1,$D60))</f>
        <v/>
      </c>
      <c r="I60" s="30">
        <f>IF($C60="","",IF(G60&gt;0,(G60+IFERROR(VLOOKUP(F60,機種マスタ!$Q$4:$R$6,2,FALSE),0))*H60,0))</f>
        <v/>
      </c>
    </row>
    <row r="61">
      <c r="A61" s="56" t="n"/>
      <c r="B61" s="41" t="n"/>
      <c r="C61" s="40" t="n"/>
      <c r="D61" s="41" t="n"/>
      <c r="E61" s="30">
        <f>IF($C61="","",IF($B61="YM",IFERROR(INDEX(機種マスタ!$I$4:$I$203,MATCH($C61,機種マスタ!$J$4:$J$203,0)),"未登録"),IFERROR(INDEX(機種マスタ!$A$4:$A$363,MATCH($C61,機種マスタ!$B$4:$B$363,0)),"未登録")))</f>
        <v/>
      </c>
      <c r="F61" s="30">
        <f>IF($C61="","",IF($B61="YM",IFERROR(INDEX(機種マスタ!$K$4:$K$203,MATCH($C61,機種マスタ!$J$4:$J$203,0)),"-"),IFERROR(INDEX(機種マスタ!$C$4:$C$363,MATCH($C61,機種マスタ!$B$4:$B$363,0)),"-")))</f>
        <v/>
      </c>
      <c r="G61" s="30">
        <f>IF($C61="","",IF($B61="YM",IFERROR(N(INDEX(機種マスタ!$L$4:$L$203,MATCH($C61,機種マスタ!$J$4:$J$203,0))),0),IFERROR(N(INDEX(機種マスタ!$D$4:$D$363,MATCH($C61,機種マスタ!$B$4:$B$363,0))),0)))</f>
        <v/>
      </c>
      <c r="H61" s="30">
        <f>IF($C61="","",IF($D61="",1,$D61))</f>
        <v/>
      </c>
      <c r="I61" s="30">
        <f>IF($C61="","",IF(G61&gt;0,(G61+IFERROR(VLOOKUP(F61,機種マスタ!$Q$4:$R$6,2,FALSE),0))*H61,0))</f>
        <v/>
      </c>
    </row>
    <row r="62">
      <c r="A62" s="56" t="n"/>
      <c r="B62" s="41" t="n"/>
      <c r="C62" s="40" t="n"/>
      <c r="D62" s="41" t="n"/>
      <c r="E62" s="30">
        <f>IF($C62="","",IF($B62="YM",IFERROR(INDEX(機種マスタ!$I$4:$I$203,MATCH($C62,機種マスタ!$J$4:$J$203,0)),"未登録"),IFERROR(INDEX(機種マスタ!$A$4:$A$363,MATCH($C62,機種マスタ!$B$4:$B$363,0)),"未登録")))</f>
        <v/>
      </c>
      <c r="F62" s="30">
        <f>IF($C62="","",IF($B62="YM",IFERROR(INDEX(機種マスタ!$K$4:$K$203,MATCH($C62,機種マスタ!$J$4:$J$203,0)),"-"),IFERROR(INDEX(機種マスタ!$C$4:$C$363,MATCH($C62,機種マスタ!$B$4:$B$363,0)),"-")))</f>
        <v/>
      </c>
      <c r="G62" s="30">
        <f>IF($C62="","",IF($B62="YM",IFERROR(N(INDEX(機種マスタ!$L$4:$L$203,MATCH($C62,機種マスタ!$J$4:$J$203,0))),0),IFERROR(N(INDEX(機種マスタ!$D$4:$D$363,MATCH($C62,機種マスタ!$B$4:$B$363,0))),0)))</f>
        <v/>
      </c>
      <c r="H62" s="30">
        <f>IF($C62="","",IF($D62="",1,$D62))</f>
        <v/>
      </c>
      <c r="I62" s="30">
        <f>IF($C62="","",IF(G62&gt;0,(G62+IFERROR(VLOOKUP(F62,機種マスタ!$Q$4:$R$6,2,FALSE),0))*H62,0))</f>
        <v/>
      </c>
    </row>
    <row r="63">
      <c r="A63" s="56" t="n"/>
      <c r="B63" s="41" t="n"/>
      <c r="C63" s="40" t="n"/>
      <c r="D63" s="41" t="n"/>
      <c r="E63" s="30">
        <f>IF($C63="","",IF($B63="YM",IFERROR(INDEX(機種マスタ!$I$4:$I$203,MATCH($C63,機種マスタ!$J$4:$J$203,0)),"未登録"),IFERROR(INDEX(機種マスタ!$A$4:$A$363,MATCH($C63,機種マスタ!$B$4:$B$363,0)),"未登録")))</f>
        <v/>
      </c>
      <c r="F63" s="30">
        <f>IF($C63="","",IF($B63="YM",IFERROR(INDEX(機種マスタ!$K$4:$K$203,MATCH($C63,機種マスタ!$J$4:$J$203,0)),"-"),IFERROR(INDEX(機種マスタ!$C$4:$C$363,MATCH($C63,機種マスタ!$B$4:$B$363,0)),"-")))</f>
        <v/>
      </c>
      <c r="G63" s="30">
        <f>IF($C63="","",IF($B63="YM",IFERROR(N(INDEX(機種マスタ!$L$4:$L$203,MATCH($C63,機種マスタ!$J$4:$J$203,0))),0),IFERROR(N(INDEX(機種マスタ!$D$4:$D$363,MATCH($C63,機種マスタ!$B$4:$B$363,0))),0)))</f>
        <v/>
      </c>
      <c r="H63" s="30">
        <f>IF($C63="","",IF($D63="",1,$D63))</f>
        <v/>
      </c>
      <c r="I63" s="30">
        <f>IF($C63="","",IF(G63&gt;0,(G63+IFERROR(VLOOKUP(F63,機種マスタ!$Q$4:$R$6,2,FALSE),0))*H63,0))</f>
        <v/>
      </c>
    </row>
    <row r="64">
      <c r="A64" s="56" t="n"/>
      <c r="B64" s="41" t="n"/>
      <c r="C64" s="40" t="n"/>
      <c r="D64" s="41" t="n"/>
      <c r="E64" s="30">
        <f>IF($C64="","",IF($B64="YM",IFERROR(INDEX(機種マスタ!$I$4:$I$203,MATCH($C64,機種マスタ!$J$4:$J$203,0)),"未登録"),IFERROR(INDEX(機種マスタ!$A$4:$A$363,MATCH($C64,機種マスタ!$B$4:$B$363,0)),"未登録")))</f>
        <v/>
      </c>
      <c r="F64" s="30">
        <f>IF($C64="","",IF($B64="YM",IFERROR(INDEX(機種マスタ!$K$4:$K$203,MATCH($C64,機種マスタ!$J$4:$J$203,0)),"-"),IFERROR(INDEX(機種マスタ!$C$4:$C$363,MATCH($C64,機種マスタ!$B$4:$B$363,0)),"-")))</f>
        <v/>
      </c>
      <c r="G64" s="30">
        <f>IF($C64="","",IF($B64="YM",IFERROR(N(INDEX(機種マスタ!$L$4:$L$203,MATCH($C64,機種マスタ!$J$4:$J$203,0))),0),IFERROR(N(INDEX(機種マスタ!$D$4:$D$363,MATCH($C64,機種マスタ!$B$4:$B$363,0))),0)))</f>
        <v/>
      </c>
      <c r="H64" s="30">
        <f>IF($C64="","",IF($D64="",1,$D64))</f>
        <v/>
      </c>
      <c r="I64" s="30">
        <f>IF($C64="","",IF(G64&gt;0,(G64+IFERROR(VLOOKUP(F64,機種マスタ!$Q$4:$R$6,2,FALSE),0))*H64,0))</f>
        <v/>
      </c>
    </row>
    <row r="65">
      <c r="A65" s="56" t="n"/>
      <c r="B65" s="41" t="n"/>
      <c r="C65" s="40" t="n"/>
      <c r="D65" s="41" t="n"/>
      <c r="E65" s="30">
        <f>IF($C65="","",IF($B65="YM",IFERROR(INDEX(機種マスタ!$I$4:$I$203,MATCH($C65,機種マスタ!$J$4:$J$203,0)),"未登録"),IFERROR(INDEX(機種マスタ!$A$4:$A$363,MATCH($C65,機種マスタ!$B$4:$B$363,0)),"未登録")))</f>
        <v/>
      </c>
      <c r="F65" s="30">
        <f>IF($C65="","",IF($B65="YM",IFERROR(INDEX(機種マスタ!$K$4:$K$203,MATCH($C65,機種マスタ!$J$4:$J$203,0)),"-"),IFERROR(INDEX(機種マスタ!$C$4:$C$363,MATCH($C65,機種マスタ!$B$4:$B$363,0)),"-")))</f>
        <v/>
      </c>
      <c r="G65" s="30">
        <f>IF($C65="","",IF($B65="YM",IFERROR(N(INDEX(機種マスタ!$L$4:$L$203,MATCH($C65,機種マスタ!$J$4:$J$203,0))),0),IFERROR(N(INDEX(機種マスタ!$D$4:$D$363,MATCH($C65,機種マスタ!$B$4:$B$363,0))),0)))</f>
        <v/>
      </c>
      <c r="H65" s="30">
        <f>IF($C65="","",IF($D65="",1,$D65))</f>
        <v/>
      </c>
      <c r="I65" s="30">
        <f>IF($C65="","",IF(G65&gt;0,(G65+IFERROR(VLOOKUP(F65,機種マスタ!$Q$4:$R$6,2,FALSE),0))*H65,0))</f>
        <v/>
      </c>
    </row>
    <row r="66">
      <c r="A66" s="56" t="n"/>
      <c r="B66" s="41" t="n"/>
      <c r="C66" s="40" t="n"/>
      <c r="D66" s="41" t="n"/>
      <c r="E66" s="30">
        <f>IF($C66="","",IF($B66="YM",IFERROR(INDEX(機種マスタ!$I$4:$I$203,MATCH($C66,機種マスタ!$J$4:$J$203,0)),"未登録"),IFERROR(INDEX(機種マスタ!$A$4:$A$363,MATCH($C66,機種マスタ!$B$4:$B$363,0)),"未登録")))</f>
        <v/>
      </c>
      <c r="F66" s="30">
        <f>IF($C66="","",IF($B66="YM",IFERROR(INDEX(機種マスタ!$K$4:$K$203,MATCH($C66,機種マスタ!$J$4:$J$203,0)),"-"),IFERROR(INDEX(機種マスタ!$C$4:$C$363,MATCH($C66,機種マスタ!$B$4:$B$363,0)),"-")))</f>
        <v/>
      </c>
      <c r="G66" s="30">
        <f>IF($C66="","",IF($B66="YM",IFERROR(N(INDEX(機種マスタ!$L$4:$L$203,MATCH($C66,機種マスタ!$J$4:$J$203,0))),0),IFERROR(N(INDEX(機種マスタ!$D$4:$D$363,MATCH($C66,機種マスタ!$B$4:$B$363,0))),0)))</f>
        <v/>
      </c>
      <c r="H66" s="30">
        <f>IF($C66="","",IF($D66="",1,$D66))</f>
        <v/>
      </c>
      <c r="I66" s="30">
        <f>IF($C66="","",IF(G66&gt;0,(G66+IFERROR(VLOOKUP(F66,機種マスタ!$Q$4:$R$6,2,FALSE),0))*H66,0))</f>
        <v/>
      </c>
    </row>
    <row r="67">
      <c r="A67" s="56" t="n"/>
      <c r="B67" s="41" t="n"/>
      <c r="C67" s="40" t="n"/>
      <c r="D67" s="41" t="n"/>
      <c r="E67" s="30">
        <f>IF($C67="","",IF($B67="YM",IFERROR(INDEX(機種マスタ!$I$4:$I$203,MATCH($C67,機種マスタ!$J$4:$J$203,0)),"未登録"),IFERROR(INDEX(機種マスタ!$A$4:$A$363,MATCH($C67,機種マスタ!$B$4:$B$363,0)),"未登録")))</f>
        <v/>
      </c>
      <c r="F67" s="30">
        <f>IF($C67="","",IF($B67="YM",IFERROR(INDEX(機種マスタ!$K$4:$K$203,MATCH($C67,機種マスタ!$J$4:$J$203,0)),"-"),IFERROR(INDEX(機種マスタ!$C$4:$C$363,MATCH($C67,機種マスタ!$B$4:$B$363,0)),"-")))</f>
        <v/>
      </c>
      <c r="G67" s="30">
        <f>IF($C67="","",IF($B67="YM",IFERROR(N(INDEX(機種マスタ!$L$4:$L$203,MATCH($C67,機種マスタ!$J$4:$J$203,0))),0),IFERROR(N(INDEX(機種マスタ!$D$4:$D$363,MATCH($C67,機種マスタ!$B$4:$B$363,0))),0)))</f>
        <v/>
      </c>
      <c r="H67" s="30">
        <f>IF($C67="","",IF($D67="",1,$D67))</f>
        <v/>
      </c>
      <c r="I67" s="30">
        <f>IF($C67="","",IF(G67&gt;0,(G67+IFERROR(VLOOKUP(F67,機種マスタ!$Q$4:$R$6,2,FALSE),0))*H67,0))</f>
        <v/>
      </c>
    </row>
    <row r="68">
      <c r="A68" s="56" t="n"/>
      <c r="B68" s="41" t="n"/>
      <c r="C68" s="40" t="n"/>
      <c r="D68" s="41" t="n"/>
      <c r="E68" s="30">
        <f>IF($C68="","",IF($B68="YM",IFERROR(INDEX(機種マスタ!$I$4:$I$203,MATCH($C68,機種マスタ!$J$4:$J$203,0)),"未登録"),IFERROR(INDEX(機種マスタ!$A$4:$A$363,MATCH($C68,機種マスタ!$B$4:$B$363,0)),"未登録")))</f>
        <v/>
      </c>
      <c r="F68" s="30">
        <f>IF($C68="","",IF($B68="YM",IFERROR(INDEX(機種マスタ!$K$4:$K$203,MATCH($C68,機種マスタ!$J$4:$J$203,0)),"-"),IFERROR(INDEX(機種マスタ!$C$4:$C$363,MATCH($C68,機種マスタ!$B$4:$B$363,0)),"-")))</f>
        <v/>
      </c>
      <c r="G68" s="30">
        <f>IF($C68="","",IF($B68="YM",IFERROR(N(INDEX(機種マスタ!$L$4:$L$203,MATCH($C68,機種マスタ!$J$4:$J$203,0))),0),IFERROR(N(INDEX(機種マスタ!$D$4:$D$363,MATCH($C68,機種マスタ!$B$4:$B$363,0))),0)))</f>
        <v/>
      </c>
      <c r="H68" s="30">
        <f>IF($C68="","",IF($D68="",1,$D68))</f>
        <v/>
      </c>
      <c r="I68" s="30">
        <f>IF($C68="","",IF(G68&gt;0,(G68+IFERROR(VLOOKUP(F68,機種マスタ!$Q$4:$R$6,2,FALSE),0))*H68,0))</f>
        <v/>
      </c>
    </row>
    <row r="69">
      <c r="A69" s="56" t="n"/>
      <c r="B69" s="41" t="n"/>
      <c r="C69" s="40" t="n"/>
      <c r="D69" s="41" t="n"/>
      <c r="E69" s="30">
        <f>IF($C69="","",IF($B69="YM",IFERROR(INDEX(機種マスタ!$I$4:$I$203,MATCH($C69,機種マスタ!$J$4:$J$203,0)),"未登録"),IFERROR(INDEX(機種マスタ!$A$4:$A$363,MATCH($C69,機種マスタ!$B$4:$B$363,0)),"未登録")))</f>
        <v/>
      </c>
      <c r="F69" s="30">
        <f>IF($C69="","",IF($B69="YM",IFERROR(INDEX(機種マスタ!$K$4:$K$203,MATCH($C69,機種マスタ!$J$4:$J$203,0)),"-"),IFERROR(INDEX(機種マスタ!$C$4:$C$363,MATCH($C69,機種マスタ!$B$4:$B$363,0)),"-")))</f>
        <v/>
      </c>
      <c r="G69" s="30">
        <f>IF($C69="","",IF($B69="YM",IFERROR(N(INDEX(機種マスタ!$L$4:$L$203,MATCH($C69,機種マスタ!$J$4:$J$203,0))),0),IFERROR(N(INDEX(機種マスタ!$D$4:$D$363,MATCH($C69,機種マスタ!$B$4:$B$363,0))),0)))</f>
        <v/>
      </c>
      <c r="H69" s="30">
        <f>IF($C69="","",IF($D69="",1,$D69))</f>
        <v/>
      </c>
      <c r="I69" s="30">
        <f>IF($C69="","",IF(G69&gt;0,(G69+IFERROR(VLOOKUP(F69,機種マスタ!$Q$4:$R$6,2,FALSE),0))*H69,0))</f>
        <v/>
      </c>
    </row>
    <row r="70">
      <c r="A70" s="56" t="n"/>
      <c r="B70" s="41" t="n"/>
      <c r="C70" s="40" t="n"/>
      <c r="D70" s="41" t="n"/>
      <c r="E70" s="30">
        <f>IF($C70="","",IF($B70="YM",IFERROR(INDEX(機種マスタ!$I$4:$I$203,MATCH($C70,機種マスタ!$J$4:$J$203,0)),"未登録"),IFERROR(INDEX(機種マスタ!$A$4:$A$363,MATCH($C70,機種マスタ!$B$4:$B$363,0)),"未登録")))</f>
        <v/>
      </c>
      <c r="F70" s="30">
        <f>IF($C70="","",IF($B70="YM",IFERROR(INDEX(機種マスタ!$K$4:$K$203,MATCH($C70,機種マスタ!$J$4:$J$203,0)),"-"),IFERROR(INDEX(機種マスタ!$C$4:$C$363,MATCH($C70,機種マスタ!$B$4:$B$363,0)),"-")))</f>
        <v/>
      </c>
      <c r="G70" s="30">
        <f>IF($C70="","",IF($B70="YM",IFERROR(N(INDEX(機種マスタ!$L$4:$L$203,MATCH($C70,機種マスタ!$J$4:$J$203,0))),0),IFERROR(N(INDEX(機種マスタ!$D$4:$D$363,MATCH($C70,機種マスタ!$B$4:$B$363,0))),0)))</f>
        <v/>
      </c>
      <c r="H70" s="30">
        <f>IF($C70="","",IF($D70="",1,$D70))</f>
        <v/>
      </c>
      <c r="I70" s="30">
        <f>IF($C70="","",IF(G70&gt;0,(G70+IFERROR(VLOOKUP(F70,機種マスタ!$Q$4:$R$6,2,FALSE),0))*H70,0))</f>
        <v/>
      </c>
    </row>
    <row r="71">
      <c r="A71" s="56" t="n"/>
      <c r="B71" s="41" t="n"/>
      <c r="C71" s="40" t="n"/>
      <c r="D71" s="41" t="n"/>
      <c r="E71" s="30">
        <f>IF($C71="","",IF($B71="YM",IFERROR(INDEX(機種マスタ!$I$4:$I$203,MATCH($C71,機種マスタ!$J$4:$J$203,0)),"未登録"),IFERROR(INDEX(機種マスタ!$A$4:$A$363,MATCH($C71,機種マスタ!$B$4:$B$363,0)),"未登録")))</f>
        <v/>
      </c>
      <c r="F71" s="30">
        <f>IF($C71="","",IF($B71="YM",IFERROR(INDEX(機種マスタ!$K$4:$K$203,MATCH($C71,機種マスタ!$J$4:$J$203,0)),"-"),IFERROR(INDEX(機種マスタ!$C$4:$C$363,MATCH($C71,機種マスタ!$B$4:$B$363,0)),"-")))</f>
        <v/>
      </c>
      <c r="G71" s="30">
        <f>IF($C71="","",IF($B71="YM",IFERROR(N(INDEX(機種マスタ!$L$4:$L$203,MATCH($C71,機種マスタ!$J$4:$J$203,0))),0),IFERROR(N(INDEX(機種マスタ!$D$4:$D$363,MATCH($C71,機種マスタ!$B$4:$B$363,0))),0)))</f>
        <v/>
      </c>
      <c r="H71" s="30">
        <f>IF($C71="","",IF($D71="",1,$D71))</f>
        <v/>
      </c>
      <c r="I71" s="30">
        <f>IF($C71="","",IF(G71&gt;0,(G71+IFERROR(VLOOKUP(F71,機種マスタ!$Q$4:$R$6,2,FALSE),0))*H71,0))</f>
        <v/>
      </c>
    </row>
    <row r="72">
      <c r="A72" s="56" t="n"/>
      <c r="B72" s="41" t="n"/>
      <c r="C72" s="40" t="n"/>
      <c r="D72" s="41" t="n"/>
      <c r="E72" s="30">
        <f>IF($C72="","",IF($B72="YM",IFERROR(INDEX(機種マスタ!$I$4:$I$203,MATCH($C72,機種マスタ!$J$4:$J$203,0)),"未登録"),IFERROR(INDEX(機種マスタ!$A$4:$A$363,MATCH($C72,機種マスタ!$B$4:$B$363,0)),"未登録")))</f>
        <v/>
      </c>
      <c r="F72" s="30">
        <f>IF($C72="","",IF($B72="YM",IFERROR(INDEX(機種マスタ!$K$4:$K$203,MATCH($C72,機種マスタ!$J$4:$J$203,0)),"-"),IFERROR(INDEX(機種マスタ!$C$4:$C$363,MATCH($C72,機種マスタ!$B$4:$B$363,0)),"-")))</f>
        <v/>
      </c>
      <c r="G72" s="30">
        <f>IF($C72="","",IF($B72="YM",IFERROR(N(INDEX(機種マスタ!$L$4:$L$203,MATCH($C72,機種マスタ!$J$4:$J$203,0))),0),IFERROR(N(INDEX(機種マスタ!$D$4:$D$363,MATCH($C72,機種マスタ!$B$4:$B$363,0))),0)))</f>
        <v/>
      </c>
      <c r="H72" s="30">
        <f>IF($C72="","",IF($D72="",1,$D72))</f>
        <v/>
      </c>
      <c r="I72" s="30">
        <f>IF($C72="","",IF(G72&gt;0,(G72+IFERROR(VLOOKUP(F72,機種マスタ!$Q$4:$R$6,2,FALSE),0))*H72,0))</f>
        <v/>
      </c>
    </row>
    <row r="73">
      <c r="A73" s="56" t="n"/>
      <c r="B73" s="41" t="n"/>
      <c r="C73" s="40" t="n"/>
      <c r="D73" s="41" t="n"/>
      <c r="E73" s="30">
        <f>IF($C73="","",IF($B73="YM",IFERROR(INDEX(機種マスタ!$I$4:$I$203,MATCH($C73,機種マスタ!$J$4:$J$203,0)),"未登録"),IFERROR(INDEX(機種マスタ!$A$4:$A$363,MATCH($C73,機種マスタ!$B$4:$B$363,0)),"未登録")))</f>
        <v/>
      </c>
      <c r="F73" s="30">
        <f>IF($C73="","",IF($B73="YM",IFERROR(INDEX(機種マスタ!$K$4:$K$203,MATCH($C73,機種マスタ!$J$4:$J$203,0)),"-"),IFERROR(INDEX(機種マスタ!$C$4:$C$363,MATCH($C73,機種マスタ!$B$4:$B$363,0)),"-")))</f>
        <v/>
      </c>
      <c r="G73" s="30">
        <f>IF($C73="","",IF($B73="YM",IFERROR(N(INDEX(機種マスタ!$L$4:$L$203,MATCH($C73,機種マスタ!$J$4:$J$203,0))),0),IFERROR(N(INDEX(機種マスタ!$D$4:$D$363,MATCH($C73,機種マスタ!$B$4:$B$363,0))),0)))</f>
        <v/>
      </c>
      <c r="H73" s="30">
        <f>IF($C73="","",IF($D73="",1,$D73))</f>
        <v/>
      </c>
      <c r="I73" s="30">
        <f>IF($C73="","",IF(G73&gt;0,(G73+IFERROR(VLOOKUP(F73,機種マスタ!$Q$4:$R$6,2,FALSE),0))*H73,0))</f>
        <v/>
      </c>
    </row>
    <row r="74">
      <c r="A74" s="56" t="n"/>
      <c r="B74" s="41" t="n"/>
      <c r="C74" s="40" t="n"/>
      <c r="D74" s="41" t="n"/>
      <c r="E74" s="30">
        <f>IF($C74="","",IF($B74="YM",IFERROR(INDEX(機種マスタ!$I$4:$I$203,MATCH($C74,機種マスタ!$J$4:$J$203,0)),"未登録"),IFERROR(INDEX(機種マスタ!$A$4:$A$363,MATCH($C74,機種マスタ!$B$4:$B$363,0)),"未登録")))</f>
        <v/>
      </c>
      <c r="F74" s="30">
        <f>IF($C74="","",IF($B74="YM",IFERROR(INDEX(機種マスタ!$K$4:$K$203,MATCH($C74,機種マスタ!$J$4:$J$203,0)),"-"),IFERROR(INDEX(機種マスタ!$C$4:$C$363,MATCH($C74,機種マスタ!$B$4:$B$363,0)),"-")))</f>
        <v/>
      </c>
      <c r="G74" s="30">
        <f>IF($C74="","",IF($B74="YM",IFERROR(N(INDEX(機種マスタ!$L$4:$L$203,MATCH($C74,機種マスタ!$J$4:$J$203,0))),0),IFERROR(N(INDEX(機種マスタ!$D$4:$D$363,MATCH($C74,機種マスタ!$B$4:$B$363,0))),0)))</f>
        <v/>
      </c>
      <c r="H74" s="30">
        <f>IF($C74="","",IF($D74="",1,$D74))</f>
        <v/>
      </c>
      <c r="I74" s="30">
        <f>IF($C74="","",IF(G74&gt;0,(G74+IFERROR(VLOOKUP(F74,機種マスタ!$Q$4:$R$6,2,FALSE),0))*H74,0))</f>
        <v/>
      </c>
    </row>
    <row r="75">
      <c r="A75" s="56" t="n"/>
      <c r="B75" s="41" t="n"/>
      <c r="C75" s="40" t="n"/>
      <c r="D75" s="41" t="n"/>
      <c r="E75" s="30">
        <f>IF($C75="","",IF($B75="YM",IFERROR(INDEX(機種マスタ!$I$4:$I$203,MATCH($C75,機種マスタ!$J$4:$J$203,0)),"未登録"),IFERROR(INDEX(機種マスタ!$A$4:$A$363,MATCH($C75,機種マスタ!$B$4:$B$363,0)),"未登録")))</f>
        <v/>
      </c>
      <c r="F75" s="30">
        <f>IF($C75="","",IF($B75="YM",IFERROR(INDEX(機種マスタ!$K$4:$K$203,MATCH($C75,機種マスタ!$J$4:$J$203,0)),"-"),IFERROR(INDEX(機種マスタ!$C$4:$C$363,MATCH($C75,機種マスタ!$B$4:$B$363,0)),"-")))</f>
        <v/>
      </c>
      <c r="G75" s="30">
        <f>IF($C75="","",IF($B75="YM",IFERROR(N(INDEX(機種マスタ!$L$4:$L$203,MATCH($C75,機種マスタ!$J$4:$J$203,0))),0),IFERROR(N(INDEX(機種マスタ!$D$4:$D$363,MATCH($C75,機種マスタ!$B$4:$B$363,0))),0)))</f>
        <v/>
      </c>
      <c r="H75" s="30">
        <f>IF($C75="","",IF($D75="",1,$D75))</f>
        <v/>
      </c>
      <c r="I75" s="30">
        <f>IF($C75="","",IF(G75&gt;0,(G75+IFERROR(VLOOKUP(F75,機種マスタ!$Q$4:$R$6,2,FALSE),0))*H75,0))</f>
        <v/>
      </c>
    </row>
    <row r="76">
      <c r="A76" s="56" t="n"/>
      <c r="B76" s="41" t="n"/>
      <c r="C76" s="40" t="n"/>
      <c r="D76" s="41" t="n"/>
      <c r="E76" s="30">
        <f>IF($C76="","",IF($B76="YM",IFERROR(INDEX(機種マスタ!$I$4:$I$203,MATCH($C76,機種マスタ!$J$4:$J$203,0)),"未登録"),IFERROR(INDEX(機種マスタ!$A$4:$A$363,MATCH($C76,機種マスタ!$B$4:$B$363,0)),"未登録")))</f>
        <v/>
      </c>
      <c r="F76" s="30">
        <f>IF($C76="","",IF($B76="YM",IFERROR(INDEX(機種マスタ!$K$4:$K$203,MATCH($C76,機種マスタ!$J$4:$J$203,0)),"-"),IFERROR(INDEX(機種マスタ!$C$4:$C$363,MATCH($C76,機種マスタ!$B$4:$B$363,0)),"-")))</f>
        <v/>
      </c>
      <c r="G76" s="30">
        <f>IF($C76="","",IF($B76="YM",IFERROR(N(INDEX(機種マスタ!$L$4:$L$203,MATCH($C76,機種マスタ!$J$4:$J$203,0))),0),IFERROR(N(INDEX(機種マスタ!$D$4:$D$363,MATCH($C76,機種マスタ!$B$4:$B$363,0))),0)))</f>
        <v/>
      </c>
      <c r="H76" s="30">
        <f>IF($C76="","",IF($D76="",1,$D76))</f>
        <v/>
      </c>
      <c r="I76" s="30">
        <f>IF($C76="","",IF(G76&gt;0,(G76+IFERROR(VLOOKUP(F76,機種マスタ!$Q$4:$R$6,2,FALSE),0))*H76,0))</f>
        <v/>
      </c>
    </row>
    <row r="77">
      <c r="A77" s="56" t="n"/>
      <c r="B77" s="41" t="n"/>
      <c r="C77" s="40" t="n"/>
      <c r="D77" s="41" t="n"/>
      <c r="E77" s="30">
        <f>IF($C77="","",IF($B77="YM",IFERROR(INDEX(機種マスタ!$I$4:$I$203,MATCH($C77,機種マスタ!$J$4:$J$203,0)),"未登録"),IFERROR(INDEX(機種マスタ!$A$4:$A$363,MATCH($C77,機種マスタ!$B$4:$B$363,0)),"未登録")))</f>
        <v/>
      </c>
      <c r="F77" s="30">
        <f>IF($C77="","",IF($B77="YM",IFERROR(INDEX(機種マスタ!$K$4:$K$203,MATCH($C77,機種マスタ!$J$4:$J$203,0)),"-"),IFERROR(INDEX(機種マスタ!$C$4:$C$363,MATCH($C77,機種マスタ!$B$4:$B$363,0)),"-")))</f>
        <v/>
      </c>
      <c r="G77" s="30">
        <f>IF($C77="","",IF($B77="YM",IFERROR(N(INDEX(機種マスタ!$L$4:$L$203,MATCH($C77,機種マスタ!$J$4:$J$203,0))),0),IFERROR(N(INDEX(機種マスタ!$D$4:$D$363,MATCH($C77,機種マスタ!$B$4:$B$363,0))),0)))</f>
        <v/>
      </c>
      <c r="H77" s="30">
        <f>IF($C77="","",IF($D77="",1,$D77))</f>
        <v/>
      </c>
      <c r="I77" s="30">
        <f>IF($C77="","",IF(G77&gt;0,(G77+IFERROR(VLOOKUP(F77,機種マスタ!$Q$4:$R$6,2,FALSE),0))*H77,0))</f>
        <v/>
      </c>
    </row>
    <row r="78">
      <c r="A78" s="56" t="n"/>
      <c r="B78" s="41" t="n"/>
      <c r="C78" s="40" t="n"/>
      <c r="D78" s="41" t="n"/>
      <c r="E78" s="30">
        <f>IF($C78="","",IF($B78="YM",IFERROR(INDEX(機種マスタ!$I$4:$I$203,MATCH($C78,機種マスタ!$J$4:$J$203,0)),"未登録"),IFERROR(INDEX(機種マスタ!$A$4:$A$363,MATCH($C78,機種マスタ!$B$4:$B$363,0)),"未登録")))</f>
        <v/>
      </c>
      <c r="F78" s="30">
        <f>IF($C78="","",IF($B78="YM",IFERROR(INDEX(機種マスタ!$K$4:$K$203,MATCH($C78,機種マスタ!$J$4:$J$203,0)),"-"),IFERROR(INDEX(機種マスタ!$C$4:$C$363,MATCH($C78,機種マスタ!$B$4:$B$363,0)),"-")))</f>
        <v/>
      </c>
      <c r="G78" s="30">
        <f>IF($C78="","",IF($B78="YM",IFERROR(N(INDEX(機種マスタ!$L$4:$L$203,MATCH($C78,機種マスタ!$J$4:$J$203,0))),0),IFERROR(N(INDEX(機種マスタ!$D$4:$D$363,MATCH($C78,機種マスタ!$B$4:$B$363,0))),0)))</f>
        <v/>
      </c>
      <c r="H78" s="30">
        <f>IF($C78="","",IF($D78="",1,$D78))</f>
        <v/>
      </c>
      <c r="I78" s="30">
        <f>IF($C78="","",IF(G78&gt;0,(G78+IFERROR(VLOOKUP(F78,機種マスタ!$Q$4:$R$6,2,FALSE),0))*H78,0))</f>
        <v/>
      </c>
    </row>
    <row r="79">
      <c r="A79" s="56" t="n"/>
      <c r="B79" s="41" t="n"/>
      <c r="C79" s="40" t="n"/>
      <c r="D79" s="41" t="n"/>
      <c r="E79" s="30">
        <f>IF($C79="","",IF($B79="YM",IFERROR(INDEX(機種マスタ!$I$4:$I$203,MATCH($C79,機種マスタ!$J$4:$J$203,0)),"未登録"),IFERROR(INDEX(機種マスタ!$A$4:$A$363,MATCH($C79,機種マスタ!$B$4:$B$363,0)),"未登録")))</f>
        <v/>
      </c>
      <c r="F79" s="30">
        <f>IF($C79="","",IF($B79="YM",IFERROR(INDEX(機種マスタ!$K$4:$K$203,MATCH($C79,機種マスタ!$J$4:$J$203,0)),"-"),IFERROR(INDEX(機種マスタ!$C$4:$C$363,MATCH($C79,機種マスタ!$B$4:$B$363,0)),"-")))</f>
        <v/>
      </c>
      <c r="G79" s="30">
        <f>IF($C79="","",IF($B79="YM",IFERROR(N(INDEX(機種マスタ!$L$4:$L$203,MATCH($C79,機種マスタ!$J$4:$J$203,0))),0),IFERROR(N(INDEX(機種マスタ!$D$4:$D$363,MATCH($C79,機種マスタ!$B$4:$B$363,0))),0)))</f>
        <v/>
      </c>
      <c r="H79" s="30">
        <f>IF($C79="","",IF($D79="",1,$D79))</f>
        <v/>
      </c>
      <c r="I79" s="30">
        <f>IF($C79="","",IF(G79&gt;0,(G79+IFERROR(VLOOKUP(F79,機種マスタ!$Q$4:$R$6,2,FALSE),0))*H79,0))</f>
        <v/>
      </c>
    </row>
    <row r="80">
      <c r="A80" s="56" t="n"/>
      <c r="B80" s="41" t="n"/>
      <c r="C80" s="40" t="n"/>
      <c r="D80" s="41" t="n"/>
      <c r="E80" s="30">
        <f>IF($C80="","",IF($B80="YM",IFERROR(INDEX(機種マスタ!$I$4:$I$203,MATCH($C80,機種マスタ!$J$4:$J$203,0)),"未登録"),IFERROR(INDEX(機種マスタ!$A$4:$A$363,MATCH($C80,機種マスタ!$B$4:$B$363,0)),"未登録")))</f>
        <v/>
      </c>
      <c r="F80" s="30">
        <f>IF($C80="","",IF($B80="YM",IFERROR(INDEX(機種マスタ!$K$4:$K$203,MATCH($C80,機種マスタ!$J$4:$J$203,0)),"-"),IFERROR(INDEX(機種マスタ!$C$4:$C$363,MATCH($C80,機種マスタ!$B$4:$B$363,0)),"-")))</f>
        <v/>
      </c>
      <c r="G80" s="30">
        <f>IF($C80="","",IF($B80="YM",IFERROR(N(INDEX(機種マスタ!$L$4:$L$203,MATCH($C80,機種マスタ!$J$4:$J$203,0))),0),IFERROR(N(INDEX(機種マスタ!$D$4:$D$363,MATCH($C80,機種マスタ!$B$4:$B$363,0))),0)))</f>
        <v/>
      </c>
      <c r="H80" s="30">
        <f>IF($C80="","",IF($D80="",1,$D80))</f>
        <v/>
      </c>
      <c r="I80" s="30">
        <f>IF($C80="","",IF(G80&gt;0,(G80+IFERROR(VLOOKUP(F80,機種マスタ!$Q$4:$R$6,2,FALSE),0))*H80,0))</f>
        <v/>
      </c>
    </row>
    <row r="81">
      <c r="A81" s="56" t="n"/>
      <c r="B81" s="41" t="n"/>
      <c r="C81" s="40" t="n"/>
      <c r="D81" s="41" t="n"/>
      <c r="E81" s="30">
        <f>IF($C81="","",IF($B81="YM",IFERROR(INDEX(機種マスタ!$I$4:$I$203,MATCH($C81,機種マスタ!$J$4:$J$203,0)),"未登録"),IFERROR(INDEX(機種マスタ!$A$4:$A$363,MATCH($C81,機種マスタ!$B$4:$B$363,0)),"未登録")))</f>
        <v/>
      </c>
      <c r="F81" s="30">
        <f>IF($C81="","",IF($B81="YM",IFERROR(INDEX(機種マスタ!$K$4:$K$203,MATCH($C81,機種マスタ!$J$4:$J$203,0)),"-"),IFERROR(INDEX(機種マスタ!$C$4:$C$363,MATCH($C81,機種マスタ!$B$4:$B$363,0)),"-")))</f>
        <v/>
      </c>
      <c r="G81" s="30">
        <f>IF($C81="","",IF($B81="YM",IFERROR(N(INDEX(機種マスタ!$L$4:$L$203,MATCH($C81,機種マスタ!$J$4:$J$203,0))),0),IFERROR(N(INDEX(機種マスタ!$D$4:$D$363,MATCH($C81,機種マスタ!$B$4:$B$363,0))),0)))</f>
        <v/>
      </c>
      <c r="H81" s="30">
        <f>IF($C81="","",IF($D81="",1,$D81))</f>
        <v/>
      </c>
      <c r="I81" s="30">
        <f>IF($C81="","",IF(G81&gt;0,(G81+IFERROR(VLOOKUP(F81,機種マスタ!$Q$4:$R$6,2,FALSE),0))*H81,0))</f>
        <v/>
      </c>
    </row>
    <row r="82">
      <c r="A82" s="56" t="n"/>
      <c r="B82" s="41" t="n"/>
      <c r="C82" s="40" t="n"/>
      <c r="D82" s="41" t="n"/>
      <c r="E82" s="30">
        <f>IF($C82="","",IF($B82="YM",IFERROR(INDEX(機種マスタ!$I$4:$I$203,MATCH($C82,機種マスタ!$J$4:$J$203,0)),"未登録"),IFERROR(INDEX(機種マスタ!$A$4:$A$363,MATCH($C82,機種マスタ!$B$4:$B$363,0)),"未登録")))</f>
        <v/>
      </c>
      <c r="F82" s="30">
        <f>IF($C82="","",IF($B82="YM",IFERROR(INDEX(機種マスタ!$K$4:$K$203,MATCH($C82,機種マスタ!$J$4:$J$203,0)),"-"),IFERROR(INDEX(機種マスタ!$C$4:$C$363,MATCH($C82,機種マスタ!$B$4:$B$363,0)),"-")))</f>
        <v/>
      </c>
      <c r="G82" s="30">
        <f>IF($C82="","",IF($B82="YM",IFERROR(N(INDEX(機種マスタ!$L$4:$L$203,MATCH($C82,機種マスタ!$J$4:$J$203,0))),0),IFERROR(N(INDEX(機種マスタ!$D$4:$D$363,MATCH($C82,機種マスタ!$B$4:$B$363,0))),0)))</f>
        <v/>
      </c>
      <c r="H82" s="30">
        <f>IF($C82="","",IF($D82="",1,$D82))</f>
        <v/>
      </c>
      <c r="I82" s="30">
        <f>IF($C82="","",IF(G82&gt;0,(G82+IFERROR(VLOOKUP(F82,機種マスタ!$Q$4:$R$6,2,FALSE),0))*H82,0))</f>
        <v/>
      </c>
    </row>
    <row r="83">
      <c r="A83" s="56" t="n"/>
      <c r="B83" s="41" t="n"/>
      <c r="C83" s="40" t="n"/>
      <c r="D83" s="41" t="n"/>
      <c r="E83" s="30">
        <f>IF($C83="","",IF($B83="YM",IFERROR(INDEX(機種マスタ!$I$4:$I$203,MATCH($C83,機種マスタ!$J$4:$J$203,0)),"未登録"),IFERROR(INDEX(機種マスタ!$A$4:$A$363,MATCH($C83,機種マスタ!$B$4:$B$363,0)),"未登録")))</f>
        <v/>
      </c>
      <c r="F83" s="30">
        <f>IF($C83="","",IF($B83="YM",IFERROR(INDEX(機種マスタ!$K$4:$K$203,MATCH($C83,機種マスタ!$J$4:$J$203,0)),"-"),IFERROR(INDEX(機種マスタ!$C$4:$C$363,MATCH($C83,機種マスタ!$B$4:$B$363,0)),"-")))</f>
        <v/>
      </c>
      <c r="G83" s="30">
        <f>IF($C83="","",IF($B83="YM",IFERROR(N(INDEX(機種マスタ!$L$4:$L$203,MATCH($C83,機種マスタ!$J$4:$J$203,0))),0),IFERROR(N(INDEX(機種マスタ!$D$4:$D$363,MATCH($C83,機種マスタ!$B$4:$B$363,0))),0)))</f>
        <v/>
      </c>
      <c r="H83" s="30">
        <f>IF($C83="","",IF($D83="",1,$D83))</f>
        <v/>
      </c>
      <c r="I83" s="30">
        <f>IF($C83="","",IF(G83&gt;0,(G83+IFERROR(VLOOKUP(F83,機種マスタ!$Q$4:$R$6,2,FALSE),0))*H83,0))</f>
        <v/>
      </c>
    </row>
    <row r="84">
      <c r="A84" s="56" t="n"/>
      <c r="B84" s="41" t="n"/>
      <c r="C84" s="40" t="n"/>
      <c r="D84" s="41" t="n"/>
      <c r="E84" s="30">
        <f>IF($C84="","",IF($B84="YM",IFERROR(INDEX(機種マスタ!$I$4:$I$203,MATCH($C84,機種マスタ!$J$4:$J$203,0)),"未登録"),IFERROR(INDEX(機種マスタ!$A$4:$A$363,MATCH($C84,機種マスタ!$B$4:$B$363,0)),"未登録")))</f>
        <v/>
      </c>
      <c r="F84" s="30">
        <f>IF($C84="","",IF($B84="YM",IFERROR(INDEX(機種マスタ!$K$4:$K$203,MATCH($C84,機種マスタ!$J$4:$J$203,0)),"-"),IFERROR(INDEX(機種マスタ!$C$4:$C$363,MATCH($C84,機種マスタ!$B$4:$B$363,0)),"-")))</f>
        <v/>
      </c>
      <c r="G84" s="30">
        <f>IF($C84="","",IF($B84="YM",IFERROR(N(INDEX(機種マスタ!$L$4:$L$203,MATCH($C84,機種マスタ!$J$4:$J$203,0))),0),IFERROR(N(INDEX(機種マスタ!$D$4:$D$363,MATCH($C84,機種マスタ!$B$4:$B$363,0))),0)))</f>
        <v/>
      </c>
      <c r="H84" s="30">
        <f>IF($C84="","",IF($D84="",1,$D84))</f>
        <v/>
      </c>
      <c r="I84" s="30">
        <f>IF($C84="","",IF(G84&gt;0,(G84+IFERROR(VLOOKUP(F84,機種マスタ!$Q$4:$R$6,2,FALSE),0))*H84,0))</f>
        <v/>
      </c>
    </row>
    <row r="85">
      <c r="A85" s="56" t="n"/>
      <c r="B85" s="41" t="n"/>
      <c r="C85" s="40" t="n"/>
      <c r="D85" s="41" t="n"/>
      <c r="E85" s="30">
        <f>IF($C85="","",IF($B85="YM",IFERROR(INDEX(機種マスタ!$I$4:$I$203,MATCH($C85,機種マスタ!$J$4:$J$203,0)),"未登録"),IFERROR(INDEX(機種マスタ!$A$4:$A$363,MATCH($C85,機種マスタ!$B$4:$B$363,0)),"未登録")))</f>
        <v/>
      </c>
      <c r="F85" s="30">
        <f>IF($C85="","",IF($B85="YM",IFERROR(INDEX(機種マスタ!$K$4:$K$203,MATCH($C85,機種マスタ!$J$4:$J$203,0)),"-"),IFERROR(INDEX(機種マスタ!$C$4:$C$363,MATCH($C85,機種マスタ!$B$4:$B$363,0)),"-")))</f>
        <v/>
      </c>
      <c r="G85" s="30">
        <f>IF($C85="","",IF($B85="YM",IFERROR(N(INDEX(機種マスタ!$L$4:$L$203,MATCH($C85,機種マスタ!$J$4:$J$203,0))),0),IFERROR(N(INDEX(機種マスタ!$D$4:$D$363,MATCH($C85,機種マスタ!$B$4:$B$363,0))),0)))</f>
        <v/>
      </c>
      <c r="H85" s="30">
        <f>IF($C85="","",IF($D85="",1,$D85))</f>
        <v/>
      </c>
      <c r="I85" s="30">
        <f>IF($C85="","",IF(G85&gt;0,(G85+IFERROR(VLOOKUP(F85,機種マスタ!$Q$4:$R$6,2,FALSE),0))*H85,0))</f>
        <v/>
      </c>
    </row>
    <row r="86">
      <c r="A86" s="56" t="n"/>
      <c r="B86" s="41" t="n"/>
      <c r="C86" s="40" t="n"/>
      <c r="D86" s="41" t="n"/>
      <c r="E86" s="30">
        <f>IF($C86="","",IF($B86="YM",IFERROR(INDEX(機種マスタ!$I$4:$I$203,MATCH($C86,機種マスタ!$J$4:$J$203,0)),"未登録"),IFERROR(INDEX(機種マスタ!$A$4:$A$363,MATCH($C86,機種マスタ!$B$4:$B$363,0)),"未登録")))</f>
        <v/>
      </c>
      <c r="F86" s="30">
        <f>IF($C86="","",IF($B86="YM",IFERROR(INDEX(機種マスタ!$K$4:$K$203,MATCH($C86,機種マスタ!$J$4:$J$203,0)),"-"),IFERROR(INDEX(機種マスタ!$C$4:$C$363,MATCH($C86,機種マスタ!$B$4:$B$363,0)),"-")))</f>
        <v/>
      </c>
      <c r="G86" s="30">
        <f>IF($C86="","",IF($B86="YM",IFERROR(N(INDEX(機種マスタ!$L$4:$L$203,MATCH($C86,機種マスタ!$J$4:$J$203,0))),0),IFERROR(N(INDEX(機種マスタ!$D$4:$D$363,MATCH($C86,機種マスタ!$B$4:$B$363,0))),0)))</f>
        <v/>
      </c>
      <c r="H86" s="30">
        <f>IF($C86="","",IF($D86="",1,$D86))</f>
        <v/>
      </c>
      <c r="I86" s="30">
        <f>IF($C86="","",IF(G86&gt;0,(G86+IFERROR(VLOOKUP(F86,機種マスタ!$Q$4:$R$6,2,FALSE),0))*H86,0))</f>
        <v/>
      </c>
    </row>
    <row r="87">
      <c r="A87" s="56" t="n"/>
      <c r="B87" s="41" t="n"/>
      <c r="C87" s="40" t="n"/>
      <c r="D87" s="41" t="n"/>
      <c r="E87" s="30">
        <f>IF($C87="","",IF($B87="YM",IFERROR(INDEX(機種マスタ!$I$4:$I$203,MATCH($C87,機種マスタ!$J$4:$J$203,0)),"未登録"),IFERROR(INDEX(機種マスタ!$A$4:$A$363,MATCH($C87,機種マスタ!$B$4:$B$363,0)),"未登録")))</f>
        <v/>
      </c>
      <c r="F87" s="30">
        <f>IF($C87="","",IF($B87="YM",IFERROR(INDEX(機種マスタ!$K$4:$K$203,MATCH($C87,機種マスタ!$J$4:$J$203,0)),"-"),IFERROR(INDEX(機種マスタ!$C$4:$C$363,MATCH($C87,機種マスタ!$B$4:$B$363,0)),"-")))</f>
        <v/>
      </c>
      <c r="G87" s="30">
        <f>IF($C87="","",IF($B87="YM",IFERROR(N(INDEX(機種マスタ!$L$4:$L$203,MATCH($C87,機種マスタ!$J$4:$J$203,0))),0),IFERROR(N(INDEX(機種マスタ!$D$4:$D$363,MATCH($C87,機種マスタ!$B$4:$B$363,0))),0)))</f>
        <v/>
      </c>
      <c r="H87" s="30">
        <f>IF($C87="","",IF($D87="",1,$D87))</f>
        <v/>
      </c>
      <c r="I87" s="30">
        <f>IF($C87="","",IF(G87&gt;0,(G87+IFERROR(VLOOKUP(F87,機種マスタ!$Q$4:$R$6,2,FALSE),0))*H87,0))</f>
        <v/>
      </c>
    </row>
    <row r="88">
      <c r="A88" s="56" t="n"/>
      <c r="B88" s="41" t="n"/>
      <c r="C88" s="40" t="n"/>
      <c r="D88" s="41" t="n"/>
      <c r="E88" s="30">
        <f>IF($C88="","",IF($B88="YM",IFERROR(INDEX(機種マスタ!$I$4:$I$203,MATCH($C88,機種マスタ!$J$4:$J$203,0)),"未登録"),IFERROR(INDEX(機種マスタ!$A$4:$A$363,MATCH($C88,機種マスタ!$B$4:$B$363,0)),"未登録")))</f>
        <v/>
      </c>
      <c r="F88" s="30">
        <f>IF($C88="","",IF($B88="YM",IFERROR(INDEX(機種マスタ!$K$4:$K$203,MATCH($C88,機種マスタ!$J$4:$J$203,0)),"-"),IFERROR(INDEX(機種マスタ!$C$4:$C$363,MATCH($C88,機種マスタ!$B$4:$B$363,0)),"-")))</f>
        <v/>
      </c>
      <c r="G88" s="30">
        <f>IF($C88="","",IF($B88="YM",IFERROR(N(INDEX(機種マスタ!$L$4:$L$203,MATCH($C88,機種マスタ!$J$4:$J$203,0))),0),IFERROR(N(INDEX(機種マスタ!$D$4:$D$363,MATCH($C88,機種マスタ!$B$4:$B$363,0))),0)))</f>
        <v/>
      </c>
      <c r="H88" s="30">
        <f>IF($C88="","",IF($D88="",1,$D88))</f>
        <v/>
      </c>
      <c r="I88" s="30">
        <f>IF($C88="","",IF(G88&gt;0,(G88+IFERROR(VLOOKUP(F88,機種マスタ!$Q$4:$R$6,2,FALSE),0))*H88,0))</f>
        <v/>
      </c>
    </row>
    <row r="89">
      <c r="A89" s="56" t="n"/>
      <c r="B89" s="41" t="n"/>
      <c r="C89" s="40" t="n"/>
      <c r="D89" s="41" t="n"/>
      <c r="E89" s="30">
        <f>IF($C89="","",IF($B89="YM",IFERROR(INDEX(機種マスタ!$I$4:$I$203,MATCH($C89,機種マスタ!$J$4:$J$203,0)),"未登録"),IFERROR(INDEX(機種マスタ!$A$4:$A$363,MATCH($C89,機種マスタ!$B$4:$B$363,0)),"未登録")))</f>
        <v/>
      </c>
      <c r="F89" s="30">
        <f>IF($C89="","",IF($B89="YM",IFERROR(INDEX(機種マスタ!$K$4:$K$203,MATCH($C89,機種マスタ!$J$4:$J$203,0)),"-"),IFERROR(INDEX(機種マスタ!$C$4:$C$363,MATCH($C89,機種マスタ!$B$4:$B$363,0)),"-")))</f>
        <v/>
      </c>
      <c r="G89" s="30">
        <f>IF($C89="","",IF($B89="YM",IFERROR(N(INDEX(機種マスタ!$L$4:$L$203,MATCH($C89,機種マスタ!$J$4:$J$203,0))),0),IFERROR(N(INDEX(機種マスタ!$D$4:$D$363,MATCH($C89,機種マスタ!$B$4:$B$363,0))),0)))</f>
        <v/>
      </c>
      <c r="H89" s="30">
        <f>IF($C89="","",IF($D89="",1,$D89))</f>
        <v/>
      </c>
      <c r="I89" s="30">
        <f>IF($C89="","",IF(G89&gt;0,(G89+IFERROR(VLOOKUP(F89,機種マスタ!$Q$4:$R$6,2,FALSE),0))*H89,0))</f>
        <v/>
      </c>
    </row>
    <row r="90">
      <c r="A90" s="56" t="n"/>
      <c r="B90" s="41" t="n"/>
      <c r="C90" s="40" t="n"/>
      <c r="D90" s="41" t="n"/>
      <c r="E90" s="30">
        <f>IF($C90="","",IF($B90="YM",IFERROR(INDEX(機種マスタ!$I$4:$I$203,MATCH($C90,機種マスタ!$J$4:$J$203,0)),"未登録"),IFERROR(INDEX(機種マスタ!$A$4:$A$363,MATCH($C90,機種マスタ!$B$4:$B$363,0)),"未登録")))</f>
        <v/>
      </c>
      <c r="F90" s="30">
        <f>IF($C90="","",IF($B90="YM",IFERROR(INDEX(機種マスタ!$K$4:$K$203,MATCH($C90,機種マスタ!$J$4:$J$203,0)),"-"),IFERROR(INDEX(機種マスタ!$C$4:$C$363,MATCH($C90,機種マスタ!$B$4:$B$363,0)),"-")))</f>
        <v/>
      </c>
      <c r="G90" s="30">
        <f>IF($C90="","",IF($B90="YM",IFERROR(N(INDEX(機種マスタ!$L$4:$L$203,MATCH($C90,機種マスタ!$J$4:$J$203,0))),0),IFERROR(N(INDEX(機種マスタ!$D$4:$D$363,MATCH($C90,機種マスタ!$B$4:$B$363,0))),0)))</f>
        <v/>
      </c>
      <c r="H90" s="30">
        <f>IF($C90="","",IF($D90="",1,$D90))</f>
        <v/>
      </c>
      <c r="I90" s="30">
        <f>IF($C90="","",IF(G90&gt;0,(G90+IFERROR(VLOOKUP(F90,機種マスタ!$Q$4:$R$6,2,FALSE),0))*H90,0))</f>
        <v/>
      </c>
    </row>
    <row r="91">
      <c r="A91" s="56" t="n"/>
      <c r="B91" s="41" t="n"/>
      <c r="C91" s="40" t="n"/>
      <c r="D91" s="41" t="n"/>
      <c r="E91" s="30">
        <f>IF($C91="","",IF($B91="YM",IFERROR(INDEX(機種マスタ!$I$4:$I$203,MATCH($C91,機種マスタ!$J$4:$J$203,0)),"未登録"),IFERROR(INDEX(機種マスタ!$A$4:$A$363,MATCH($C91,機種マスタ!$B$4:$B$363,0)),"未登録")))</f>
        <v/>
      </c>
      <c r="F91" s="30">
        <f>IF($C91="","",IF($B91="YM",IFERROR(INDEX(機種マスタ!$K$4:$K$203,MATCH($C91,機種マスタ!$J$4:$J$203,0)),"-"),IFERROR(INDEX(機種マスタ!$C$4:$C$363,MATCH($C91,機種マスタ!$B$4:$B$363,0)),"-")))</f>
        <v/>
      </c>
      <c r="G91" s="30">
        <f>IF($C91="","",IF($B91="YM",IFERROR(N(INDEX(機種マスタ!$L$4:$L$203,MATCH($C91,機種マスタ!$J$4:$J$203,0))),0),IFERROR(N(INDEX(機種マスタ!$D$4:$D$363,MATCH($C91,機種マスタ!$B$4:$B$363,0))),0)))</f>
        <v/>
      </c>
      <c r="H91" s="30">
        <f>IF($C91="","",IF($D91="",1,$D91))</f>
        <v/>
      </c>
      <c r="I91" s="30">
        <f>IF($C91="","",IF(G91&gt;0,(G91+IFERROR(VLOOKUP(F91,機種マスタ!$Q$4:$R$6,2,FALSE),0))*H91,0))</f>
        <v/>
      </c>
    </row>
    <row r="92">
      <c r="A92" s="56" t="n"/>
      <c r="B92" s="41" t="n"/>
      <c r="C92" s="40" t="n"/>
      <c r="D92" s="41" t="n"/>
      <c r="E92" s="30">
        <f>IF($C92="","",IF($B92="YM",IFERROR(INDEX(機種マスタ!$I$4:$I$203,MATCH($C92,機種マスタ!$J$4:$J$203,0)),"未登録"),IFERROR(INDEX(機種マスタ!$A$4:$A$363,MATCH($C92,機種マスタ!$B$4:$B$363,0)),"未登録")))</f>
        <v/>
      </c>
      <c r="F92" s="30">
        <f>IF($C92="","",IF($B92="YM",IFERROR(INDEX(機種マスタ!$K$4:$K$203,MATCH($C92,機種マスタ!$J$4:$J$203,0)),"-"),IFERROR(INDEX(機種マスタ!$C$4:$C$363,MATCH($C92,機種マスタ!$B$4:$B$363,0)),"-")))</f>
        <v/>
      </c>
      <c r="G92" s="30">
        <f>IF($C92="","",IF($B92="YM",IFERROR(N(INDEX(機種マスタ!$L$4:$L$203,MATCH($C92,機種マスタ!$J$4:$J$203,0))),0),IFERROR(N(INDEX(機種マスタ!$D$4:$D$363,MATCH($C92,機種マスタ!$B$4:$B$363,0))),0)))</f>
        <v/>
      </c>
      <c r="H92" s="30">
        <f>IF($C92="","",IF($D92="",1,$D92))</f>
        <v/>
      </c>
      <c r="I92" s="30">
        <f>IF($C92="","",IF(G92&gt;0,(G92+IFERROR(VLOOKUP(F92,機種マスタ!$Q$4:$R$6,2,FALSE),0))*H92,0))</f>
        <v/>
      </c>
    </row>
    <row r="93">
      <c r="A93" s="56" t="n"/>
      <c r="B93" s="41" t="n"/>
      <c r="C93" s="40" t="n"/>
      <c r="D93" s="41" t="n"/>
      <c r="E93" s="30">
        <f>IF($C93="","",IF($B93="YM",IFERROR(INDEX(機種マスタ!$I$4:$I$203,MATCH($C93,機種マスタ!$J$4:$J$203,0)),"未登録"),IFERROR(INDEX(機種マスタ!$A$4:$A$363,MATCH($C93,機種マスタ!$B$4:$B$363,0)),"未登録")))</f>
        <v/>
      </c>
      <c r="F93" s="30">
        <f>IF($C93="","",IF($B93="YM",IFERROR(INDEX(機種マスタ!$K$4:$K$203,MATCH($C93,機種マスタ!$J$4:$J$203,0)),"-"),IFERROR(INDEX(機種マスタ!$C$4:$C$363,MATCH($C93,機種マスタ!$B$4:$B$363,0)),"-")))</f>
        <v/>
      </c>
      <c r="G93" s="30">
        <f>IF($C93="","",IF($B93="YM",IFERROR(N(INDEX(機種マスタ!$L$4:$L$203,MATCH($C93,機種マスタ!$J$4:$J$203,0))),0),IFERROR(N(INDEX(機種マスタ!$D$4:$D$363,MATCH($C93,機種マスタ!$B$4:$B$363,0))),0)))</f>
        <v/>
      </c>
      <c r="H93" s="30">
        <f>IF($C93="","",IF($D93="",1,$D93))</f>
        <v/>
      </c>
      <c r="I93" s="30">
        <f>IF($C93="","",IF(G93&gt;0,(G93+IFERROR(VLOOKUP(F93,機種マスタ!$Q$4:$R$6,2,FALSE),0))*H93,0))</f>
        <v/>
      </c>
    </row>
    <row r="94">
      <c r="A94" s="56" t="n"/>
      <c r="B94" s="41" t="n"/>
      <c r="C94" s="40" t="n"/>
      <c r="D94" s="41" t="n"/>
      <c r="E94" s="30">
        <f>IF($C94="","",IF($B94="YM",IFERROR(INDEX(機種マスタ!$I$4:$I$203,MATCH($C94,機種マスタ!$J$4:$J$203,0)),"未登録"),IFERROR(INDEX(機種マスタ!$A$4:$A$363,MATCH($C94,機種マスタ!$B$4:$B$363,0)),"未登録")))</f>
        <v/>
      </c>
      <c r="F94" s="30">
        <f>IF($C94="","",IF($B94="YM",IFERROR(INDEX(機種マスタ!$K$4:$K$203,MATCH($C94,機種マスタ!$J$4:$J$203,0)),"-"),IFERROR(INDEX(機種マスタ!$C$4:$C$363,MATCH($C94,機種マスタ!$B$4:$B$363,0)),"-")))</f>
        <v/>
      </c>
      <c r="G94" s="30">
        <f>IF($C94="","",IF($B94="YM",IFERROR(N(INDEX(機種マスタ!$L$4:$L$203,MATCH($C94,機種マスタ!$J$4:$J$203,0))),0),IFERROR(N(INDEX(機種マスタ!$D$4:$D$363,MATCH($C94,機種マスタ!$B$4:$B$363,0))),0)))</f>
        <v/>
      </c>
      <c r="H94" s="30">
        <f>IF($C94="","",IF($D94="",1,$D94))</f>
        <v/>
      </c>
      <c r="I94" s="30">
        <f>IF($C94="","",IF(G94&gt;0,(G94+IFERROR(VLOOKUP(F94,機種マスタ!$Q$4:$R$6,2,FALSE),0))*H94,0))</f>
        <v/>
      </c>
    </row>
    <row r="95">
      <c r="A95" s="56" t="n"/>
      <c r="B95" s="41" t="n"/>
      <c r="C95" s="40" t="n"/>
      <c r="D95" s="41" t="n"/>
      <c r="E95" s="30">
        <f>IF($C95="","",IF($B95="YM",IFERROR(INDEX(機種マスタ!$I$4:$I$203,MATCH($C95,機種マスタ!$J$4:$J$203,0)),"未登録"),IFERROR(INDEX(機種マスタ!$A$4:$A$363,MATCH($C95,機種マスタ!$B$4:$B$363,0)),"未登録")))</f>
        <v/>
      </c>
      <c r="F95" s="30">
        <f>IF($C95="","",IF($B95="YM",IFERROR(INDEX(機種マスタ!$K$4:$K$203,MATCH($C95,機種マスタ!$J$4:$J$203,0)),"-"),IFERROR(INDEX(機種マスタ!$C$4:$C$363,MATCH($C95,機種マスタ!$B$4:$B$363,0)),"-")))</f>
        <v/>
      </c>
      <c r="G95" s="30">
        <f>IF($C95="","",IF($B95="YM",IFERROR(N(INDEX(機種マスタ!$L$4:$L$203,MATCH($C95,機種マスタ!$J$4:$J$203,0))),0),IFERROR(N(INDEX(機種マスタ!$D$4:$D$363,MATCH($C95,機種マスタ!$B$4:$B$363,0))),0)))</f>
        <v/>
      </c>
      <c r="H95" s="30">
        <f>IF($C95="","",IF($D95="",1,$D95))</f>
        <v/>
      </c>
      <c r="I95" s="30">
        <f>IF($C95="","",IF(G95&gt;0,(G95+IFERROR(VLOOKUP(F95,機種マスタ!$Q$4:$R$6,2,FALSE),0))*H95,0))</f>
        <v/>
      </c>
    </row>
    <row r="96">
      <c r="A96" s="56" t="n"/>
      <c r="B96" s="41" t="n"/>
      <c r="C96" s="40" t="n"/>
      <c r="D96" s="41" t="n"/>
      <c r="E96" s="30">
        <f>IF($C96="","",IF($B96="YM",IFERROR(INDEX(機種マスタ!$I$4:$I$203,MATCH($C96,機種マスタ!$J$4:$J$203,0)),"未登録"),IFERROR(INDEX(機種マスタ!$A$4:$A$363,MATCH($C96,機種マスタ!$B$4:$B$363,0)),"未登録")))</f>
        <v/>
      </c>
      <c r="F96" s="30">
        <f>IF($C96="","",IF($B96="YM",IFERROR(INDEX(機種マスタ!$K$4:$K$203,MATCH($C96,機種マスタ!$J$4:$J$203,0)),"-"),IFERROR(INDEX(機種マスタ!$C$4:$C$363,MATCH($C96,機種マスタ!$B$4:$B$363,0)),"-")))</f>
        <v/>
      </c>
      <c r="G96" s="30">
        <f>IF($C96="","",IF($B96="YM",IFERROR(N(INDEX(機種マスタ!$L$4:$L$203,MATCH($C96,機種マスタ!$J$4:$J$203,0))),0),IFERROR(N(INDEX(機種マスタ!$D$4:$D$363,MATCH($C96,機種マスタ!$B$4:$B$363,0))),0)))</f>
        <v/>
      </c>
      <c r="H96" s="30">
        <f>IF($C96="","",IF($D96="",1,$D96))</f>
        <v/>
      </c>
      <c r="I96" s="30">
        <f>IF($C96="","",IF(G96&gt;0,(G96+IFERROR(VLOOKUP(F96,機種マスタ!$Q$4:$R$6,2,FALSE),0))*H96,0))</f>
        <v/>
      </c>
    </row>
    <row r="97">
      <c r="A97" s="56" t="n"/>
      <c r="B97" s="41" t="n"/>
      <c r="C97" s="40" t="n"/>
      <c r="D97" s="41" t="n"/>
      <c r="E97" s="30">
        <f>IF($C97="","",IF($B97="YM",IFERROR(INDEX(機種マスタ!$I$4:$I$203,MATCH($C97,機種マスタ!$J$4:$J$203,0)),"未登録"),IFERROR(INDEX(機種マスタ!$A$4:$A$363,MATCH($C97,機種マスタ!$B$4:$B$363,0)),"未登録")))</f>
        <v/>
      </c>
      <c r="F97" s="30">
        <f>IF($C97="","",IF($B97="YM",IFERROR(INDEX(機種マスタ!$K$4:$K$203,MATCH($C97,機種マスタ!$J$4:$J$203,0)),"-"),IFERROR(INDEX(機種マスタ!$C$4:$C$363,MATCH($C97,機種マスタ!$B$4:$B$363,0)),"-")))</f>
        <v/>
      </c>
      <c r="G97" s="30">
        <f>IF($C97="","",IF($B97="YM",IFERROR(N(INDEX(機種マスタ!$L$4:$L$203,MATCH($C97,機種マスタ!$J$4:$J$203,0))),0),IFERROR(N(INDEX(機種マスタ!$D$4:$D$363,MATCH($C97,機種マスタ!$B$4:$B$363,0))),0)))</f>
        <v/>
      </c>
      <c r="H97" s="30">
        <f>IF($C97="","",IF($D97="",1,$D97))</f>
        <v/>
      </c>
      <c r="I97" s="30">
        <f>IF($C97="","",IF(G97&gt;0,(G97+IFERROR(VLOOKUP(F97,機種マスタ!$Q$4:$R$6,2,FALSE),0))*H97,0))</f>
        <v/>
      </c>
    </row>
    <row r="98">
      <c r="A98" s="56" t="n"/>
      <c r="B98" s="41" t="n"/>
      <c r="C98" s="40" t="n"/>
      <c r="D98" s="41" t="n"/>
      <c r="E98" s="30">
        <f>IF($C98="","",IF($B98="YM",IFERROR(INDEX(機種マスタ!$I$4:$I$203,MATCH($C98,機種マスタ!$J$4:$J$203,0)),"未登録"),IFERROR(INDEX(機種マスタ!$A$4:$A$363,MATCH($C98,機種マスタ!$B$4:$B$363,0)),"未登録")))</f>
        <v/>
      </c>
      <c r="F98" s="30">
        <f>IF($C98="","",IF($B98="YM",IFERROR(INDEX(機種マスタ!$K$4:$K$203,MATCH($C98,機種マスタ!$J$4:$J$203,0)),"-"),IFERROR(INDEX(機種マスタ!$C$4:$C$363,MATCH($C98,機種マスタ!$B$4:$B$363,0)),"-")))</f>
        <v/>
      </c>
      <c r="G98" s="30">
        <f>IF($C98="","",IF($B98="YM",IFERROR(N(INDEX(機種マスタ!$L$4:$L$203,MATCH($C98,機種マスタ!$J$4:$J$203,0))),0),IFERROR(N(INDEX(機種マスタ!$D$4:$D$363,MATCH($C98,機種マスタ!$B$4:$B$363,0))),0)))</f>
        <v/>
      </c>
      <c r="H98" s="30">
        <f>IF($C98="","",IF($D98="",1,$D98))</f>
        <v/>
      </c>
      <c r="I98" s="30">
        <f>IF($C98="","",IF(G98&gt;0,(G98+IFERROR(VLOOKUP(F98,機種マスタ!$Q$4:$R$6,2,FALSE),0))*H98,0))</f>
        <v/>
      </c>
    </row>
    <row r="99">
      <c r="A99" s="56" t="n"/>
      <c r="B99" s="41" t="n"/>
      <c r="C99" s="40" t="n"/>
      <c r="D99" s="41" t="n"/>
      <c r="E99" s="30">
        <f>IF($C99="","",IF($B99="YM",IFERROR(INDEX(機種マスタ!$I$4:$I$203,MATCH($C99,機種マスタ!$J$4:$J$203,0)),"未登録"),IFERROR(INDEX(機種マスタ!$A$4:$A$363,MATCH($C99,機種マスタ!$B$4:$B$363,0)),"未登録")))</f>
        <v/>
      </c>
      <c r="F99" s="30">
        <f>IF($C99="","",IF($B99="YM",IFERROR(INDEX(機種マスタ!$K$4:$K$203,MATCH($C99,機種マスタ!$J$4:$J$203,0)),"-"),IFERROR(INDEX(機種マスタ!$C$4:$C$363,MATCH($C99,機種マスタ!$B$4:$B$363,0)),"-")))</f>
        <v/>
      </c>
      <c r="G99" s="30">
        <f>IF($C99="","",IF($B99="YM",IFERROR(N(INDEX(機種マスタ!$L$4:$L$203,MATCH($C99,機種マスタ!$J$4:$J$203,0))),0),IFERROR(N(INDEX(機種マスタ!$D$4:$D$363,MATCH($C99,機種マスタ!$B$4:$B$363,0))),0)))</f>
        <v/>
      </c>
      <c r="H99" s="30">
        <f>IF($C99="","",IF($D99="",1,$D99))</f>
        <v/>
      </c>
      <c r="I99" s="30">
        <f>IF($C99="","",IF(G99&gt;0,(G99+IFERROR(VLOOKUP(F99,機種マスタ!$Q$4:$R$6,2,FALSE),0))*H99,0))</f>
        <v/>
      </c>
    </row>
    <row r="100">
      <c r="A100" s="56" t="n"/>
      <c r="B100" s="41" t="n"/>
      <c r="C100" s="40" t="n"/>
      <c r="D100" s="41" t="n"/>
      <c r="E100" s="30">
        <f>IF($C100="","",IF($B100="YM",IFERROR(INDEX(機種マスタ!$I$4:$I$203,MATCH($C100,機種マスタ!$J$4:$J$203,0)),"未登録"),IFERROR(INDEX(機種マスタ!$A$4:$A$363,MATCH($C100,機種マスタ!$B$4:$B$363,0)),"未登録")))</f>
        <v/>
      </c>
      <c r="F100" s="30">
        <f>IF($C100="","",IF($B100="YM",IFERROR(INDEX(機種マスタ!$K$4:$K$203,MATCH($C100,機種マスタ!$J$4:$J$203,0)),"-"),IFERROR(INDEX(機種マスタ!$C$4:$C$363,MATCH($C100,機種マスタ!$B$4:$B$363,0)),"-")))</f>
        <v/>
      </c>
      <c r="G100" s="30">
        <f>IF($C100="","",IF($B100="YM",IFERROR(N(INDEX(機種マスタ!$L$4:$L$203,MATCH($C100,機種マスタ!$J$4:$J$203,0))),0),IFERROR(N(INDEX(機種マスタ!$D$4:$D$363,MATCH($C100,機種マスタ!$B$4:$B$363,0))),0)))</f>
        <v/>
      </c>
      <c r="H100" s="30">
        <f>IF($C100="","",IF($D100="",1,$D100))</f>
        <v/>
      </c>
      <c r="I100" s="30">
        <f>IF($C100="","",IF(G100&gt;0,(G100+IFERROR(VLOOKUP(F100,機種マスタ!$Q$4:$R$6,2,FALSE),0))*H100,0))</f>
        <v/>
      </c>
    </row>
    <row r="101">
      <c r="A101" s="56" t="n"/>
      <c r="B101" s="41" t="n"/>
      <c r="C101" s="40" t="n"/>
      <c r="D101" s="41" t="n"/>
      <c r="E101" s="30">
        <f>IF($C101="","",IF($B101="YM",IFERROR(INDEX(機種マスタ!$I$4:$I$203,MATCH($C101,機種マスタ!$J$4:$J$203,0)),"未登録"),IFERROR(INDEX(機種マスタ!$A$4:$A$363,MATCH($C101,機種マスタ!$B$4:$B$363,0)),"未登録")))</f>
        <v/>
      </c>
      <c r="F101" s="30">
        <f>IF($C101="","",IF($B101="YM",IFERROR(INDEX(機種マスタ!$K$4:$K$203,MATCH($C101,機種マスタ!$J$4:$J$203,0)),"-"),IFERROR(INDEX(機種マスタ!$C$4:$C$363,MATCH($C101,機種マスタ!$B$4:$B$363,0)),"-")))</f>
        <v/>
      </c>
      <c r="G101" s="30">
        <f>IF($C101="","",IF($B101="YM",IFERROR(N(INDEX(機種マスタ!$L$4:$L$203,MATCH($C101,機種マスタ!$J$4:$J$203,0))),0),IFERROR(N(INDEX(機種マスタ!$D$4:$D$363,MATCH($C101,機種マスタ!$B$4:$B$363,0))),0)))</f>
        <v/>
      </c>
      <c r="H101" s="30">
        <f>IF($C101="","",IF($D101="",1,$D101))</f>
        <v/>
      </c>
      <c r="I101" s="30">
        <f>IF($C101="","",IF(G101&gt;0,(G101+IFERROR(VLOOKUP(F101,機種マスタ!$Q$4:$R$6,2,FALSE),0))*H101,0))</f>
        <v/>
      </c>
    </row>
    <row r="102">
      <c r="A102" s="56" t="n"/>
      <c r="B102" s="41" t="n"/>
      <c r="C102" s="40" t="n"/>
      <c r="D102" s="41" t="n"/>
      <c r="E102" s="30">
        <f>IF($C102="","",IF($B102="YM",IFERROR(INDEX(機種マスタ!$I$4:$I$203,MATCH($C102,機種マスタ!$J$4:$J$203,0)),"未登録"),IFERROR(INDEX(機種マスタ!$A$4:$A$363,MATCH($C102,機種マスタ!$B$4:$B$363,0)),"未登録")))</f>
        <v/>
      </c>
      <c r="F102" s="30">
        <f>IF($C102="","",IF($B102="YM",IFERROR(INDEX(機種マスタ!$K$4:$K$203,MATCH($C102,機種マスタ!$J$4:$J$203,0)),"-"),IFERROR(INDEX(機種マスタ!$C$4:$C$363,MATCH($C102,機種マスタ!$B$4:$B$363,0)),"-")))</f>
        <v/>
      </c>
      <c r="G102" s="30">
        <f>IF($C102="","",IF($B102="YM",IFERROR(N(INDEX(機種マスタ!$L$4:$L$203,MATCH($C102,機種マスタ!$J$4:$J$203,0))),0),IFERROR(N(INDEX(機種マスタ!$D$4:$D$363,MATCH($C102,機種マスタ!$B$4:$B$363,0))),0)))</f>
        <v/>
      </c>
      <c r="H102" s="30">
        <f>IF($C102="","",IF($D102="",1,$D102))</f>
        <v/>
      </c>
      <c r="I102" s="30">
        <f>IF($C102="","",IF(G102&gt;0,(G102+IFERROR(VLOOKUP(F102,機種マスタ!$Q$4:$R$6,2,FALSE),0))*H102,0))</f>
        <v/>
      </c>
    </row>
    <row r="103">
      <c r="A103" s="56" t="n"/>
      <c r="B103" s="41" t="n"/>
      <c r="C103" s="40" t="n"/>
      <c r="D103" s="41" t="n"/>
      <c r="E103" s="30">
        <f>IF($C103="","",IF($B103="YM",IFERROR(INDEX(機種マスタ!$I$4:$I$203,MATCH($C103,機種マスタ!$J$4:$J$203,0)),"未登録"),IFERROR(INDEX(機種マスタ!$A$4:$A$363,MATCH($C103,機種マスタ!$B$4:$B$363,0)),"未登録")))</f>
        <v/>
      </c>
      <c r="F103" s="30">
        <f>IF($C103="","",IF($B103="YM",IFERROR(INDEX(機種マスタ!$K$4:$K$203,MATCH($C103,機種マスタ!$J$4:$J$203,0)),"-"),IFERROR(INDEX(機種マスタ!$C$4:$C$363,MATCH($C103,機種マスタ!$B$4:$B$363,0)),"-")))</f>
        <v/>
      </c>
      <c r="G103" s="30">
        <f>IF($C103="","",IF($B103="YM",IFERROR(N(INDEX(機種マスタ!$L$4:$L$203,MATCH($C103,機種マスタ!$J$4:$J$203,0))),0),IFERROR(N(INDEX(機種マスタ!$D$4:$D$363,MATCH($C103,機種マスタ!$B$4:$B$363,0))),0)))</f>
        <v/>
      </c>
      <c r="H103" s="30">
        <f>IF($C103="","",IF($D103="",1,$D103))</f>
        <v/>
      </c>
      <c r="I103" s="30">
        <f>IF($C103="","",IF(G103&gt;0,(G103+IFERROR(VLOOKUP(F103,機種マスタ!$Q$4:$R$6,2,FALSE),0))*H103,0))</f>
        <v/>
      </c>
    </row>
    <row r="104">
      <c r="A104" s="56" t="n"/>
      <c r="B104" s="41" t="n"/>
      <c r="C104" s="40" t="n"/>
      <c r="D104" s="41" t="n"/>
      <c r="E104" s="30">
        <f>IF($C104="","",IF($B104="YM",IFERROR(INDEX(機種マスタ!$I$4:$I$203,MATCH($C104,機種マスタ!$J$4:$J$203,0)),"未登録"),IFERROR(INDEX(機種マスタ!$A$4:$A$363,MATCH($C104,機種マスタ!$B$4:$B$363,0)),"未登録")))</f>
        <v/>
      </c>
      <c r="F104" s="30">
        <f>IF($C104="","",IF($B104="YM",IFERROR(INDEX(機種マスタ!$K$4:$K$203,MATCH($C104,機種マスタ!$J$4:$J$203,0)),"-"),IFERROR(INDEX(機種マスタ!$C$4:$C$363,MATCH($C104,機種マスタ!$B$4:$B$363,0)),"-")))</f>
        <v/>
      </c>
      <c r="G104" s="30">
        <f>IF($C104="","",IF($B104="YM",IFERROR(N(INDEX(機種マスタ!$L$4:$L$203,MATCH($C104,機種マスタ!$J$4:$J$203,0))),0),IFERROR(N(INDEX(機種マスタ!$D$4:$D$363,MATCH($C104,機種マスタ!$B$4:$B$363,0))),0)))</f>
        <v/>
      </c>
      <c r="H104" s="30">
        <f>IF($C104="","",IF($D104="",1,$D104))</f>
        <v/>
      </c>
      <c r="I104" s="30">
        <f>IF($C104="","",IF(G104&gt;0,(G104+IFERROR(VLOOKUP(F104,機種マスタ!$Q$4:$R$6,2,FALSE),0))*H104,0))</f>
        <v/>
      </c>
    </row>
    <row r="105">
      <c r="A105" s="56" t="n"/>
      <c r="B105" s="41" t="n"/>
      <c r="C105" s="40" t="n"/>
      <c r="D105" s="41" t="n"/>
      <c r="E105" s="30">
        <f>IF($C105="","",IF($B105="YM",IFERROR(INDEX(機種マスタ!$I$4:$I$203,MATCH($C105,機種マスタ!$J$4:$J$203,0)),"未登録"),IFERROR(INDEX(機種マスタ!$A$4:$A$363,MATCH($C105,機種マスタ!$B$4:$B$363,0)),"未登録")))</f>
        <v/>
      </c>
      <c r="F105" s="30">
        <f>IF($C105="","",IF($B105="YM",IFERROR(INDEX(機種マスタ!$K$4:$K$203,MATCH($C105,機種マスタ!$J$4:$J$203,0)),"-"),IFERROR(INDEX(機種マスタ!$C$4:$C$363,MATCH($C105,機種マスタ!$B$4:$B$363,0)),"-")))</f>
        <v/>
      </c>
      <c r="G105" s="30">
        <f>IF($C105="","",IF($B105="YM",IFERROR(N(INDEX(機種マスタ!$L$4:$L$203,MATCH($C105,機種マスタ!$J$4:$J$203,0))),0),IFERROR(N(INDEX(機種マスタ!$D$4:$D$363,MATCH($C105,機種マスタ!$B$4:$B$363,0))),0)))</f>
        <v/>
      </c>
      <c r="H105" s="30">
        <f>IF($C105="","",IF($D105="",1,$D105))</f>
        <v/>
      </c>
      <c r="I105" s="30">
        <f>IF($C105="","",IF(G105&gt;0,(G105+IFERROR(VLOOKUP(F105,機種マスタ!$Q$4:$R$6,2,FALSE),0))*H105,0))</f>
        <v/>
      </c>
    </row>
    <row r="106">
      <c r="A106" s="56" t="n"/>
      <c r="B106" s="41" t="n"/>
      <c r="C106" s="40" t="n"/>
      <c r="D106" s="41" t="n"/>
      <c r="E106" s="30">
        <f>IF($C106="","",IF($B106="YM",IFERROR(INDEX(機種マスタ!$I$4:$I$203,MATCH($C106,機種マスタ!$J$4:$J$203,0)),"未登録"),IFERROR(INDEX(機種マスタ!$A$4:$A$363,MATCH($C106,機種マスタ!$B$4:$B$363,0)),"未登録")))</f>
        <v/>
      </c>
      <c r="F106" s="30">
        <f>IF($C106="","",IF($B106="YM",IFERROR(INDEX(機種マスタ!$K$4:$K$203,MATCH($C106,機種マスタ!$J$4:$J$203,0)),"-"),IFERROR(INDEX(機種マスタ!$C$4:$C$363,MATCH($C106,機種マスタ!$B$4:$B$363,0)),"-")))</f>
        <v/>
      </c>
      <c r="G106" s="30">
        <f>IF($C106="","",IF($B106="YM",IFERROR(N(INDEX(機種マスタ!$L$4:$L$203,MATCH($C106,機種マスタ!$J$4:$J$203,0))),0),IFERROR(N(INDEX(機種マスタ!$D$4:$D$363,MATCH($C106,機種マスタ!$B$4:$B$363,0))),0)))</f>
        <v/>
      </c>
      <c r="H106" s="30">
        <f>IF($C106="","",IF($D106="",1,$D106))</f>
        <v/>
      </c>
      <c r="I106" s="30">
        <f>IF($C106="","",IF(G106&gt;0,(G106+IFERROR(VLOOKUP(F106,機種マスタ!$Q$4:$R$6,2,FALSE),0))*H106,0))</f>
        <v/>
      </c>
    </row>
    <row r="107">
      <c r="A107" s="56" t="n"/>
      <c r="B107" s="41" t="n"/>
      <c r="C107" s="40" t="n"/>
      <c r="D107" s="41" t="n"/>
      <c r="E107" s="30">
        <f>IF($C107="","",IF($B107="YM",IFERROR(INDEX(機種マスタ!$I$4:$I$203,MATCH($C107,機種マスタ!$J$4:$J$203,0)),"未登録"),IFERROR(INDEX(機種マスタ!$A$4:$A$363,MATCH($C107,機種マスタ!$B$4:$B$363,0)),"未登録")))</f>
        <v/>
      </c>
      <c r="F107" s="30">
        <f>IF($C107="","",IF($B107="YM",IFERROR(INDEX(機種マスタ!$K$4:$K$203,MATCH($C107,機種マスタ!$J$4:$J$203,0)),"-"),IFERROR(INDEX(機種マスタ!$C$4:$C$363,MATCH($C107,機種マスタ!$B$4:$B$363,0)),"-")))</f>
        <v/>
      </c>
      <c r="G107" s="30">
        <f>IF($C107="","",IF($B107="YM",IFERROR(N(INDEX(機種マスタ!$L$4:$L$203,MATCH($C107,機種マスタ!$J$4:$J$203,0))),0),IFERROR(N(INDEX(機種マスタ!$D$4:$D$363,MATCH($C107,機種マスタ!$B$4:$B$363,0))),0)))</f>
        <v/>
      </c>
      <c r="H107" s="30">
        <f>IF($C107="","",IF($D107="",1,$D107))</f>
        <v/>
      </c>
      <c r="I107" s="30">
        <f>IF($C107="","",IF(G107&gt;0,(G107+IFERROR(VLOOKUP(F107,機種マスタ!$Q$4:$R$6,2,FALSE),0))*H107,0))</f>
        <v/>
      </c>
    </row>
    <row r="108">
      <c r="A108" s="56" t="n"/>
      <c r="B108" s="41" t="n"/>
      <c r="C108" s="40" t="n"/>
      <c r="D108" s="41" t="n"/>
      <c r="E108" s="30">
        <f>IF($C108="","",IF($B108="YM",IFERROR(INDEX(機種マスタ!$I$4:$I$203,MATCH($C108,機種マスタ!$J$4:$J$203,0)),"未登録"),IFERROR(INDEX(機種マスタ!$A$4:$A$363,MATCH($C108,機種マスタ!$B$4:$B$363,0)),"未登録")))</f>
        <v/>
      </c>
      <c r="F108" s="30">
        <f>IF($C108="","",IF($B108="YM",IFERROR(INDEX(機種マスタ!$K$4:$K$203,MATCH($C108,機種マスタ!$J$4:$J$203,0)),"-"),IFERROR(INDEX(機種マスタ!$C$4:$C$363,MATCH($C108,機種マスタ!$B$4:$B$363,0)),"-")))</f>
        <v/>
      </c>
      <c r="G108" s="30">
        <f>IF($C108="","",IF($B108="YM",IFERROR(N(INDEX(機種マスタ!$L$4:$L$203,MATCH($C108,機種マスタ!$J$4:$J$203,0))),0),IFERROR(N(INDEX(機種マスタ!$D$4:$D$363,MATCH($C108,機種マスタ!$B$4:$B$363,0))),0)))</f>
        <v/>
      </c>
      <c r="H108" s="30">
        <f>IF($C108="","",IF($D108="",1,$D108))</f>
        <v/>
      </c>
      <c r="I108" s="30">
        <f>IF($C108="","",IF(G108&gt;0,(G108+IFERROR(VLOOKUP(F108,機種マスタ!$Q$4:$R$6,2,FALSE),0))*H108,0))</f>
        <v/>
      </c>
    </row>
    <row r="109">
      <c r="A109" s="56" t="n"/>
      <c r="B109" s="41" t="n"/>
      <c r="C109" s="40" t="n"/>
      <c r="D109" s="41" t="n"/>
      <c r="E109" s="30">
        <f>IF($C109="","",IF($B109="YM",IFERROR(INDEX(機種マスタ!$I$4:$I$203,MATCH($C109,機種マスタ!$J$4:$J$203,0)),"未登録"),IFERROR(INDEX(機種マスタ!$A$4:$A$363,MATCH($C109,機種マスタ!$B$4:$B$363,0)),"未登録")))</f>
        <v/>
      </c>
      <c r="F109" s="30">
        <f>IF($C109="","",IF($B109="YM",IFERROR(INDEX(機種マスタ!$K$4:$K$203,MATCH($C109,機種マスタ!$J$4:$J$203,0)),"-"),IFERROR(INDEX(機種マスタ!$C$4:$C$363,MATCH($C109,機種マスタ!$B$4:$B$363,0)),"-")))</f>
        <v/>
      </c>
      <c r="G109" s="30">
        <f>IF($C109="","",IF($B109="YM",IFERROR(N(INDEX(機種マスタ!$L$4:$L$203,MATCH($C109,機種マスタ!$J$4:$J$203,0))),0),IFERROR(N(INDEX(機種マスタ!$D$4:$D$363,MATCH($C109,機種マスタ!$B$4:$B$363,0))),0)))</f>
        <v/>
      </c>
      <c r="H109" s="30">
        <f>IF($C109="","",IF($D109="",1,$D109))</f>
        <v/>
      </c>
      <c r="I109" s="30">
        <f>IF($C109="","",IF(G109&gt;0,(G109+IFERROR(VLOOKUP(F109,機種マスタ!$Q$4:$R$6,2,FALSE),0))*H109,0))</f>
        <v/>
      </c>
    </row>
    <row r="110">
      <c r="A110" s="56" t="n"/>
      <c r="B110" s="41" t="n"/>
      <c r="C110" s="40" t="n"/>
      <c r="D110" s="41" t="n"/>
      <c r="E110" s="30">
        <f>IF($C110="","",IF($B110="YM",IFERROR(INDEX(機種マスタ!$I$4:$I$203,MATCH($C110,機種マスタ!$J$4:$J$203,0)),"未登録"),IFERROR(INDEX(機種マスタ!$A$4:$A$363,MATCH($C110,機種マスタ!$B$4:$B$363,0)),"未登録")))</f>
        <v/>
      </c>
      <c r="F110" s="30">
        <f>IF($C110="","",IF($B110="YM",IFERROR(INDEX(機種マスタ!$K$4:$K$203,MATCH($C110,機種マスタ!$J$4:$J$203,0)),"-"),IFERROR(INDEX(機種マスタ!$C$4:$C$363,MATCH($C110,機種マスタ!$B$4:$B$363,0)),"-")))</f>
        <v/>
      </c>
      <c r="G110" s="30">
        <f>IF($C110="","",IF($B110="YM",IFERROR(N(INDEX(機種マスタ!$L$4:$L$203,MATCH($C110,機種マスタ!$J$4:$J$203,0))),0),IFERROR(N(INDEX(機種マスタ!$D$4:$D$363,MATCH($C110,機種マスタ!$B$4:$B$363,0))),0)))</f>
        <v/>
      </c>
      <c r="H110" s="30">
        <f>IF($C110="","",IF($D110="",1,$D110))</f>
        <v/>
      </c>
      <c r="I110" s="30">
        <f>IF($C110="","",IF(G110&gt;0,(G110+IFERROR(VLOOKUP(F110,機種マスタ!$Q$4:$R$6,2,FALSE),0))*H110,0))</f>
        <v/>
      </c>
    </row>
    <row r="111">
      <c r="A111" s="56" t="n"/>
      <c r="B111" s="41" t="n"/>
      <c r="C111" s="40" t="n"/>
      <c r="D111" s="41" t="n"/>
      <c r="E111" s="30">
        <f>IF($C111="","",IF($B111="YM",IFERROR(INDEX(機種マスタ!$I$4:$I$203,MATCH($C111,機種マスタ!$J$4:$J$203,0)),"未登録"),IFERROR(INDEX(機種マスタ!$A$4:$A$363,MATCH($C111,機種マスタ!$B$4:$B$363,0)),"未登録")))</f>
        <v/>
      </c>
      <c r="F111" s="30">
        <f>IF($C111="","",IF($B111="YM",IFERROR(INDEX(機種マスタ!$K$4:$K$203,MATCH($C111,機種マスタ!$J$4:$J$203,0)),"-"),IFERROR(INDEX(機種マスタ!$C$4:$C$363,MATCH($C111,機種マスタ!$B$4:$B$363,0)),"-")))</f>
        <v/>
      </c>
      <c r="G111" s="30">
        <f>IF($C111="","",IF($B111="YM",IFERROR(N(INDEX(機種マスタ!$L$4:$L$203,MATCH($C111,機種マスタ!$J$4:$J$203,0))),0),IFERROR(N(INDEX(機種マスタ!$D$4:$D$363,MATCH($C111,機種マスタ!$B$4:$B$363,0))),0)))</f>
        <v/>
      </c>
      <c r="H111" s="30">
        <f>IF($C111="","",IF($D111="",1,$D111))</f>
        <v/>
      </c>
      <c r="I111" s="30">
        <f>IF($C111="","",IF(G111&gt;0,(G111+IFERROR(VLOOKUP(F111,機種マスタ!$Q$4:$R$6,2,FALSE),0))*H111,0))</f>
        <v/>
      </c>
    </row>
    <row r="112">
      <c r="A112" s="56" t="n"/>
      <c r="B112" s="41" t="n"/>
      <c r="C112" s="40" t="n"/>
      <c r="D112" s="41" t="n"/>
      <c r="E112" s="30">
        <f>IF($C112="","",IF($B112="YM",IFERROR(INDEX(機種マスタ!$I$4:$I$203,MATCH($C112,機種マスタ!$J$4:$J$203,0)),"未登録"),IFERROR(INDEX(機種マスタ!$A$4:$A$363,MATCH($C112,機種マスタ!$B$4:$B$363,0)),"未登録")))</f>
        <v/>
      </c>
      <c r="F112" s="30">
        <f>IF($C112="","",IF($B112="YM",IFERROR(INDEX(機種マスタ!$K$4:$K$203,MATCH($C112,機種マスタ!$J$4:$J$203,0)),"-"),IFERROR(INDEX(機種マスタ!$C$4:$C$363,MATCH($C112,機種マスタ!$B$4:$B$363,0)),"-")))</f>
        <v/>
      </c>
      <c r="G112" s="30">
        <f>IF($C112="","",IF($B112="YM",IFERROR(N(INDEX(機種マスタ!$L$4:$L$203,MATCH($C112,機種マスタ!$J$4:$J$203,0))),0),IFERROR(N(INDEX(機種マスタ!$D$4:$D$363,MATCH($C112,機種マスタ!$B$4:$B$363,0))),0)))</f>
        <v/>
      </c>
      <c r="H112" s="30">
        <f>IF($C112="","",IF($D112="",1,$D112))</f>
        <v/>
      </c>
      <c r="I112" s="30">
        <f>IF($C112="","",IF(G112&gt;0,(G112+IFERROR(VLOOKUP(F112,機種マスタ!$Q$4:$R$6,2,FALSE),0))*H112,0))</f>
        <v/>
      </c>
    </row>
    <row r="113">
      <c r="A113" s="56" t="n"/>
      <c r="B113" s="41" t="n"/>
      <c r="C113" s="40" t="n"/>
      <c r="D113" s="41" t="n"/>
      <c r="E113" s="30">
        <f>IF($C113="","",IF($B113="YM",IFERROR(INDEX(機種マスタ!$I$4:$I$203,MATCH($C113,機種マスタ!$J$4:$J$203,0)),"未登録"),IFERROR(INDEX(機種マスタ!$A$4:$A$363,MATCH($C113,機種マスタ!$B$4:$B$363,0)),"未登録")))</f>
        <v/>
      </c>
      <c r="F113" s="30">
        <f>IF($C113="","",IF($B113="YM",IFERROR(INDEX(機種マスタ!$K$4:$K$203,MATCH($C113,機種マスタ!$J$4:$J$203,0)),"-"),IFERROR(INDEX(機種マスタ!$C$4:$C$363,MATCH($C113,機種マスタ!$B$4:$B$363,0)),"-")))</f>
        <v/>
      </c>
      <c r="G113" s="30">
        <f>IF($C113="","",IF($B113="YM",IFERROR(N(INDEX(機種マスタ!$L$4:$L$203,MATCH($C113,機種マスタ!$J$4:$J$203,0))),0),IFERROR(N(INDEX(機種マスタ!$D$4:$D$363,MATCH($C113,機種マスタ!$B$4:$B$363,0))),0)))</f>
        <v/>
      </c>
      <c r="H113" s="30">
        <f>IF($C113="","",IF($D113="",1,$D113))</f>
        <v/>
      </c>
      <c r="I113" s="30">
        <f>IF($C113="","",IF(G113&gt;0,(G113+IFERROR(VLOOKUP(F113,機種マスタ!$Q$4:$R$6,2,FALSE),0))*H113,0))</f>
        <v/>
      </c>
    </row>
    <row r="114">
      <c r="A114" s="56" t="n"/>
      <c r="B114" s="41" t="n"/>
      <c r="C114" s="40" t="n"/>
      <c r="D114" s="41" t="n"/>
      <c r="E114" s="30">
        <f>IF($C114="","",IF($B114="YM",IFERROR(INDEX(機種マスタ!$I$4:$I$203,MATCH($C114,機種マスタ!$J$4:$J$203,0)),"未登録"),IFERROR(INDEX(機種マスタ!$A$4:$A$363,MATCH($C114,機種マスタ!$B$4:$B$363,0)),"未登録")))</f>
        <v/>
      </c>
      <c r="F114" s="30">
        <f>IF($C114="","",IF($B114="YM",IFERROR(INDEX(機種マスタ!$K$4:$K$203,MATCH($C114,機種マスタ!$J$4:$J$203,0)),"-"),IFERROR(INDEX(機種マスタ!$C$4:$C$363,MATCH($C114,機種マスタ!$B$4:$B$363,0)),"-")))</f>
        <v/>
      </c>
      <c r="G114" s="30">
        <f>IF($C114="","",IF($B114="YM",IFERROR(N(INDEX(機種マスタ!$L$4:$L$203,MATCH($C114,機種マスタ!$J$4:$J$203,0))),0),IFERROR(N(INDEX(機種マスタ!$D$4:$D$363,MATCH($C114,機種マスタ!$B$4:$B$363,0))),0)))</f>
        <v/>
      </c>
      <c r="H114" s="30">
        <f>IF($C114="","",IF($D114="",1,$D114))</f>
        <v/>
      </c>
      <c r="I114" s="30">
        <f>IF($C114="","",IF(G114&gt;0,(G114+IFERROR(VLOOKUP(F114,機種マスタ!$Q$4:$R$6,2,FALSE),0))*H114,0))</f>
        <v/>
      </c>
    </row>
    <row r="115">
      <c r="A115" s="56" t="n"/>
      <c r="B115" s="41" t="n"/>
      <c r="C115" s="40" t="n"/>
      <c r="D115" s="41" t="n"/>
      <c r="E115" s="30">
        <f>IF($C115="","",IF($B115="YM",IFERROR(INDEX(機種マスタ!$I$4:$I$203,MATCH($C115,機種マスタ!$J$4:$J$203,0)),"未登録"),IFERROR(INDEX(機種マスタ!$A$4:$A$363,MATCH($C115,機種マスタ!$B$4:$B$363,0)),"未登録")))</f>
        <v/>
      </c>
      <c r="F115" s="30">
        <f>IF($C115="","",IF($B115="YM",IFERROR(INDEX(機種マスタ!$K$4:$K$203,MATCH($C115,機種マスタ!$J$4:$J$203,0)),"-"),IFERROR(INDEX(機種マスタ!$C$4:$C$363,MATCH($C115,機種マスタ!$B$4:$B$363,0)),"-")))</f>
        <v/>
      </c>
      <c r="G115" s="30">
        <f>IF($C115="","",IF($B115="YM",IFERROR(N(INDEX(機種マスタ!$L$4:$L$203,MATCH($C115,機種マスタ!$J$4:$J$203,0))),0),IFERROR(N(INDEX(機種マスタ!$D$4:$D$363,MATCH($C115,機種マスタ!$B$4:$B$363,0))),0)))</f>
        <v/>
      </c>
      <c r="H115" s="30">
        <f>IF($C115="","",IF($D115="",1,$D115))</f>
        <v/>
      </c>
      <c r="I115" s="30">
        <f>IF($C115="","",IF(G115&gt;0,(G115+IFERROR(VLOOKUP(F115,機種マスタ!$Q$4:$R$6,2,FALSE),0))*H115,0))</f>
        <v/>
      </c>
    </row>
    <row r="116">
      <c r="A116" s="56" t="n"/>
      <c r="B116" s="41" t="n"/>
      <c r="C116" s="40" t="n"/>
      <c r="D116" s="41" t="n"/>
      <c r="E116" s="30">
        <f>IF($C116="","",IF($B116="YM",IFERROR(INDEX(機種マスタ!$I$4:$I$203,MATCH($C116,機種マスタ!$J$4:$J$203,0)),"未登録"),IFERROR(INDEX(機種マスタ!$A$4:$A$363,MATCH($C116,機種マスタ!$B$4:$B$363,0)),"未登録")))</f>
        <v/>
      </c>
      <c r="F116" s="30">
        <f>IF($C116="","",IF($B116="YM",IFERROR(INDEX(機種マスタ!$K$4:$K$203,MATCH($C116,機種マスタ!$J$4:$J$203,0)),"-"),IFERROR(INDEX(機種マスタ!$C$4:$C$363,MATCH($C116,機種マスタ!$B$4:$B$363,0)),"-")))</f>
        <v/>
      </c>
      <c r="G116" s="30">
        <f>IF($C116="","",IF($B116="YM",IFERROR(N(INDEX(機種マスタ!$L$4:$L$203,MATCH($C116,機種マスタ!$J$4:$J$203,0))),0),IFERROR(N(INDEX(機種マスタ!$D$4:$D$363,MATCH($C116,機種マスタ!$B$4:$B$363,0))),0)))</f>
        <v/>
      </c>
      <c r="H116" s="30">
        <f>IF($C116="","",IF($D116="",1,$D116))</f>
        <v/>
      </c>
      <c r="I116" s="30">
        <f>IF($C116="","",IF(G116&gt;0,(G116+IFERROR(VLOOKUP(F116,機種マスタ!$Q$4:$R$6,2,FALSE),0))*H116,0))</f>
        <v/>
      </c>
    </row>
    <row r="117">
      <c r="A117" s="56" t="n"/>
      <c r="B117" s="41" t="n"/>
      <c r="C117" s="40" t="n"/>
      <c r="D117" s="41" t="n"/>
      <c r="E117" s="30">
        <f>IF($C117="","",IF($B117="YM",IFERROR(INDEX(機種マスタ!$I$4:$I$203,MATCH($C117,機種マスタ!$J$4:$J$203,0)),"未登録"),IFERROR(INDEX(機種マスタ!$A$4:$A$363,MATCH($C117,機種マスタ!$B$4:$B$363,0)),"未登録")))</f>
        <v/>
      </c>
      <c r="F117" s="30">
        <f>IF($C117="","",IF($B117="YM",IFERROR(INDEX(機種マスタ!$K$4:$K$203,MATCH($C117,機種マスタ!$J$4:$J$203,0)),"-"),IFERROR(INDEX(機種マスタ!$C$4:$C$363,MATCH($C117,機種マスタ!$B$4:$B$363,0)),"-")))</f>
        <v/>
      </c>
      <c r="G117" s="30">
        <f>IF($C117="","",IF($B117="YM",IFERROR(N(INDEX(機種マスタ!$L$4:$L$203,MATCH($C117,機種マスタ!$J$4:$J$203,0))),0),IFERROR(N(INDEX(機種マスタ!$D$4:$D$363,MATCH($C117,機種マスタ!$B$4:$B$363,0))),0)))</f>
        <v/>
      </c>
      <c r="H117" s="30">
        <f>IF($C117="","",IF($D117="",1,$D117))</f>
        <v/>
      </c>
      <c r="I117" s="30">
        <f>IF($C117="","",IF(G117&gt;0,(G117+IFERROR(VLOOKUP(F117,機種マスタ!$Q$4:$R$6,2,FALSE),0))*H117,0))</f>
        <v/>
      </c>
    </row>
    <row r="118">
      <c r="A118" s="56" t="n"/>
      <c r="B118" s="41" t="n"/>
      <c r="C118" s="40" t="n"/>
      <c r="D118" s="41" t="n"/>
      <c r="E118" s="30">
        <f>IF($C118="","",IF($B118="YM",IFERROR(INDEX(機種マスタ!$I$4:$I$203,MATCH($C118,機種マスタ!$J$4:$J$203,0)),"未登録"),IFERROR(INDEX(機種マスタ!$A$4:$A$363,MATCH($C118,機種マスタ!$B$4:$B$363,0)),"未登録")))</f>
        <v/>
      </c>
      <c r="F118" s="30">
        <f>IF($C118="","",IF($B118="YM",IFERROR(INDEX(機種マスタ!$K$4:$K$203,MATCH($C118,機種マスタ!$J$4:$J$203,0)),"-"),IFERROR(INDEX(機種マスタ!$C$4:$C$363,MATCH($C118,機種マスタ!$B$4:$B$363,0)),"-")))</f>
        <v/>
      </c>
      <c r="G118" s="30">
        <f>IF($C118="","",IF($B118="YM",IFERROR(N(INDEX(機種マスタ!$L$4:$L$203,MATCH($C118,機種マスタ!$J$4:$J$203,0))),0),IFERROR(N(INDEX(機種マスタ!$D$4:$D$363,MATCH($C118,機種マスタ!$B$4:$B$363,0))),0)))</f>
        <v/>
      </c>
      <c r="H118" s="30">
        <f>IF($C118="","",IF($D118="",1,$D118))</f>
        <v/>
      </c>
      <c r="I118" s="30">
        <f>IF($C118="","",IF(G118&gt;0,(G118+IFERROR(VLOOKUP(F118,機種マスタ!$Q$4:$R$6,2,FALSE),0))*H118,0))</f>
        <v/>
      </c>
    </row>
    <row r="119">
      <c r="A119" s="56" t="n"/>
      <c r="B119" s="41" t="n"/>
      <c r="C119" s="40" t="n"/>
      <c r="D119" s="41" t="n"/>
      <c r="E119" s="30">
        <f>IF($C119="","",IF($B119="YM",IFERROR(INDEX(機種マスタ!$I$4:$I$203,MATCH($C119,機種マスタ!$J$4:$J$203,0)),"未登録"),IFERROR(INDEX(機種マスタ!$A$4:$A$363,MATCH($C119,機種マスタ!$B$4:$B$363,0)),"未登録")))</f>
        <v/>
      </c>
      <c r="F119" s="30">
        <f>IF($C119="","",IF($B119="YM",IFERROR(INDEX(機種マスタ!$K$4:$K$203,MATCH($C119,機種マスタ!$J$4:$J$203,0)),"-"),IFERROR(INDEX(機種マスタ!$C$4:$C$363,MATCH($C119,機種マスタ!$B$4:$B$363,0)),"-")))</f>
        <v/>
      </c>
      <c r="G119" s="30">
        <f>IF($C119="","",IF($B119="YM",IFERROR(N(INDEX(機種マスタ!$L$4:$L$203,MATCH($C119,機種マスタ!$J$4:$J$203,0))),0),IFERROR(N(INDEX(機種マスタ!$D$4:$D$363,MATCH($C119,機種マスタ!$B$4:$B$363,0))),0)))</f>
        <v/>
      </c>
      <c r="H119" s="30">
        <f>IF($C119="","",IF($D119="",1,$D119))</f>
        <v/>
      </c>
      <c r="I119" s="30">
        <f>IF($C119="","",IF(G119&gt;0,(G119+IFERROR(VLOOKUP(F119,機種マスタ!$Q$4:$R$6,2,FALSE),0))*H119,0))</f>
        <v/>
      </c>
    </row>
    <row r="120">
      <c r="A120" s="56" t="n"/>
      <c r="B120" s="41" t="n"/>
      <c r="C120" s="40" t="n"/>
      <c r="D120" s="41" t="n"/>
      <c r="E120" s="30">
        <f>IF($C120="","",IF($B120="YM",IFERROR(INDEX(機種マスタ!$I$4:$I$203,MATCH($C120,機種マスタ!$J$4:$J$203,0)),"未登録"),IFERROR(INDEX(機種マスタ!$A$4:$A$363,MATCH($C120,機種マスタ!$B$4:$B$363,0)),"未登録")))</f>
        <v/>
      </c>
      <c r="F120" s="30">
        <f>IF($C120="","",IF($B120="YM",IFERROR(INDEX(機種マスタ!$K$4:$K$203,MATCH($C120,機種マスタ!$J$4:$J$203,0)),"-"),IFERROR(INDEX(機種マスタ!$C$4:$C$363,MATCH($C120,機種マスタ!$B$4:$B$363,0)),"-")))</f>
        <v/>
      </c>
      <c r="G120" s="30">
        <f>IF($C120="","",IF($B120="YM",IFERROR(N(INDEX(機種マスタ!$L$4:$L$203,MATCH($C120,機種マスタ!$J$4:$J$203,0))),0),IFERROR(N(INDEX(機種マスタ!$D$4:$D$363,MATCH($C120,機種マスタ!$B$4:$B$363,0))),0)))</f>
        <v/>
      </c>
      <c r="H120" s="30">
        <f>IF($C120="","",IF($D120="",1,$D120))</f>
        <v/>
      </c>
      <c r="I120" s="30">
        <f>IF($C120="","",IF(G120&gt;0,(G120+IFERROR(VLOOKUP(F120,機種マスタ!$Q$4:$R$6,2,FALSE),0))*H120,0))</f>
        <v/>
      </c>
    </row>
    <row r="121">
      <c r="A121" s="56" t="n"/>
      <c r="B121" s="41" t="n"/>
      <c r="C121" s="40" t="n"/>
      <c r="D121" s="41" t="n"/>
      <c r="E121" s="30">
        <f>IF($C121="","",IF($B121="YM",IFERROR(INDEX(機種マスタ!$I$4:$I$203,MATCH($C121,機種マスタ!$J$4:$J$203,0)),"未登録"),IFERROR(INDEX(機種マスタ!$A$4:$A$363,MATCH($C121,機種マスタ!$B$4:$B$363,0)),"未登録")))</f>
        <v/>
      </c>
      <c r="F121" s="30">
        <f>IF($C121="","",IF($B121="YM",IFERROR(INDEX(機種マスタ!$K$4:$K$203,MATCH($C121,機種マスタ!$J$4:$J$203,0)),"-"),IFERROR(INDEX(機種マスタ!$C$4:$C$363,MATCH($C121,機種マスタ!$B$4:$B$363,0)),"-")))</f>
        <v/>
      </c>
      <c r="G121" s="30">
        <f>IF($C121="","",IF($B121="YM",IFERROR(N(INDEX(機種マスタ!$L$4:$L$203,MATCH($C121,機種マスタ!$J$4:$J$203,0))),0),IFERROR(N(INDEX(機種マスタ!$D$4:$D$363,MATCH($C121,機種マスタ!$B$4:$B$363,0))),0)))</f>
        <v/>
      </c>
      <c r="H121" s="30">
        <f>IF($C121="","",IF($D121="",1,$D121))</f>
        <v/>
      </c>
      <c r="I121" s="30">
        <f>IF($C121="","",IF(G121&gt;0,(G121+IFERROR(VLOOKUP(F121,機種マスタ!$Q$4:$R$6,2,FALSE),0))*H121,0))</f>
        <v/>
      </c>
    </row>
    <row r="122">
      <c r="A122" s="56" t="n"/>
      <c r="B122" s="41" t="n"/>
      <c r="C122" s="40" t="n"/>
      <c r="D122" s="41" t="n"/>
      <c r="E122" s="30">
        <f>IF($C122="","",IF($B122="YM",IFERROR(INDEX(機種マスタ!$I$4:$I$203,MATCH($C122,機種マスタ!$J$4:$J$203,0)),"未登録"),IFERROR(INDEX(機種マスタ!$A$4:$A$363,MATCH($C122,機種マスタ!$B$4:$B$363,0)),"未登録")))</f>
        <v/>
      </c>
      <c r="F122" s="30">
        <f>IF($C122="","",IF($B122="YM",IFERROR(INDEX(機種マスタ!$K$4:$K$203,MATCH($C122,機種マスタ!$J$4:$J$203,0)),"-"),IFERROR(INDEX(機種マスタ!$C$4:$C$363,MATCH($C122,機種マスタ!$B$4:$B$363,0)),"-")))</f>
        <v/>
      </c>
      <c r="G122" s="30">
        <f>IF($C122="","",IF($B122="YM",IFERROR(N(INDEX(機種マスタ!$L$4:$L$203,MATCH($C122,機種マスタ!$J$4:$J$203,0))),0),IFERROR(N(INDEX(機種マスタ!$D$4:$D$363,MATCH($C122,機種マスタ!$B$4:$B$363,0))),0)))</f>
        <v/>
      </c>
      <c r="H122" s="30">
        <f>IF($C122="","",IF($D122="",1,$D122))</f>
        <v/>
      </c>
      <c r="I122" s="30">
        <f>IF($C122="","",IF(G122&gt;0,(G122+IFERROR(VLOOKUP(F122,機種マスタ!$Q$4:$R$6,2,FALSE),0))*H122,0))</f>
        <v/>
      </c>
    </row>
    <row r="123">
      <c r="A123" s="56" t="n"/>
      <c r="B123" s="41" t="n"/>
      <c r="C123" s="40" t="n"/>
      <c r="D123" s="41" t="n"/>
      <c r="E123" s="30">
        <f>IF($C123="","",IF($B123="YM",IFERROR(INDEX(機種マスタ!$I$4:$I$203,MATCH($C123,機種マスタ!$J$4:$J$203,0)),"未登録"),IFERROR(INDEX(機種マスタ!$A$4:$A$363,MATCH($C123,機種マスタ!$B$4:$B$363,0)),"未登録")))</f>
        <v/>
      </c>
      <c r="F123" s="30">
        <f>IF($C123="","",IF($B123="YM",IFERROR(INDEX(機種マスタ!$K$4:$K$203,MATCH($C123,機種マスタ!$J$4:$J$203,0)),"-"),IFERROR(INDEX(機種マスタ!$C$4:$C$363,MATCH($C123,機種マスタ!$B$4:$B$363,0)),"-")))</f>
        <v/>
      </c>
      <c r="G123" s="30">
        <f>IF($C123="","",IF($B123="YM",IFERROR(N(INDEX(機種マスタ!$L$4:$L$203,MATCH($C123,機種マスタ!$J$4:$J$203,0))),0),IFERROR(N(INDEX(機種マスタ!$D$4:$D$363,MATCH($C123,機種マスタ!$B$4:$B$363,0))),0)))</f>
        <v/>
      </c>
      <c r="H123" s="30">
        <f>IF($C123="","",IF($D123="",1,$D123))</f>
        <v/>
      </c>
      <c r="I123" s="30">
        <f>IF($C123="","",IF(G123&gt;0,(G123+IFERROR(VLOOKUP(F123,機種マスタ!$Q$4:$R$6,2,FALSE),0))*H123,0))</f>
        <v/>
      </c>
    </row>
    <row r="124">
      <c r="A124" s="56" t="n"/>
      <c r="B124" s="41" t="n"/>
      <c r="C124" s="40" t="n"/>
      <c r="D124" s="41" t="n"/>
      <c r="E124" s="30">
        <f>IF($C124="","",IF($B124="YM",IFERROR(INDEX(機種マスタ!$I$4:$I$203,MATCH($C124,機種マスタ!$J$4:$J$203,0)),"未登録"),IFERROR(INDEX(機種マスタ!$A$4:$A$363,MATCH($C124,機種マスタ!$B$4:$B$363,0)),"未登録")))</f>
        <v/>
      </c>
      <c r="F124" s="30">
        <f>IF($C124="","",IF($B124="YM",IFERROR(INDEX(機種マスタ!$K$4:$K$203,MATCH($C124,機種マスタ!$J$4:$J$203,0)),"-"),IFERROR(INDEX(機種マスタ!$C$4:$C$363,MATCH($C124,機種マスタ!$B$4:$B$363,0)),"-")))</f>
        <v/>
      </c>
      <c r="G124" s="30">
        <f>IF($C124="","",IF($B124="YM",IFERROR(N(INDEX(機種マスタ!$L$4:$L$203,MATCH($C124,機種マスタ!$J$4:$J$203,0))),0),IFERROR(N(INDEX(機種マスタ!$D$4:$D$363,MATCH($C124,機種マスタ!$B$4:$B$363,0))),0)))</f>
        <v/>
      </c>
      <c r="H124" s="30">
        <f>IF($C124="","",IF($D124="",1,$D124))</f>
        <v/>
      </c>
      <c r="I124" s="30">
        <f>IF($C124="","",IF(G124&gt;0,(G124+IFERROR(VLOOKUP(F124,機種マスタ!$Q$4:$R$6,2,FALSE),0))*H124,0))</f>
        <v/>
      </c>
    </row>
    <row r="125">
      <c r="A125" s="56" t="n"/>
      <c r="B125" s="41" t="n"/>
      <c r="C125" s="40" t="n"/>
      <c r="D125" s="41" t="n"/>
      <c r="E125" s="30">
        <f>IF($C125="","",IF($B125="YM",IFERROR(INDEX(機種マスタ!$I$4:$I$203,MATCH($C125,機種マスタ!$J$4:$J$203,0)),"未登録"),IFERROR(INDEX(機種マスタ!$A$4:$A$363,MATCH($C125,機種マスタ!$B$4:$B$363,0)),"未登録")))</f>
        <v/>
      </c>
      <c r="F125" s="30">
        <f>IF($C125="","",IF($B125="YM",IFERROR(INDEX(機種マスタ!$K$4:$K$203,MATCH($C125,機種マスタ!$J$4:$J$203,0)),"-"),IFERROR(INDEX(機種マスタ!$C$4:$C$363,MATCH($C125,機種マスタ!$B$4:$B$363,0)),"-")))</f>
        <v/>
      </c>
      <c r="G125" s="30">
        <f>IF($C125="","",IF($B125="YM",IFERROR(N(INDEX(機種マスタ!$L$4:$L$203,MATCH($C125,機種マスタ!$J$4:$J$203,0))),0),IFERROR(N(INDEX(機種マスタ!$D$4:$D$363,MATCH($C125,機種マスタ!$B$4:$B$363,0))),0)))</f>
        <v/>
      </c>
      <c r="H125" s="30">
        <f>IF($C125="","",IF($D125="",1,$D125))</f>
        <v/>
      </c>
      <c r="I125" s="30">
        <f>IF($C125="","",IF(G125&gt;0,(G125+IFERROR(VLOOKUP(F125,機種マスタ!$Q$4:$R$6,2,FALSE),0))*H125,0))</f>
        <v/>
      </c>
    </row>
    <row r="126">
      <c r="A126" s="56" t="n"/>
      <c r="B126" s="41" t="n"/>
      <c r="C126" s="40" t="n"/>
      <c r="D126" s="41" t="n"/>
      <c r="E126" s="30">
        <f>IF($C126="","",IF($B126="YM",IFERROR(INDEX(機種マスタ!$I$4:$I$203,MATCH($C126,機種マスタ!$J$4:$J$203,0)),"未登録"),IFERROR(INDEX(機種マスタ!$A$4:$A$363,MATCH($C126,機種マスタ!$B$4:$B$363,0)),"未登録")))</f>
        <v/>
      </c>
      <c r="F126" s="30">
        <f>IF($C126="","",IF($B126="YM",IFERROR(INDEX(機種マスタ!$K$4:$K$203,MATCH($C126,機種マスタ!$J$4:$J$203,0)),"-"),IFERROR(INDEX(機種マスタ!$C$4:$C$363,MATCH($C126,機種マスタ!$B$4:$B$363,0)),"-")))</f>
        <v/>
      </c>
      <c r="G126" s="30">
        <f>IF($C126="","",IF($B126="YM",IFERROR(N(INDEX(機種マスタ!$L$4:$L$203,MATCH($C126,機種マスタ!$J$4:$J$203,0))),0),IFERROR(N(INDEX(機種マスタ!$D$4:$D$363,MATCH($C126,機種マスタ!$B$4:$B$363,0))),0)))</f>
        <v/>
      </c>
      <c r="H126" s="30">
        <f>IF($C126="","",IF($D126="",1,$D126))</f>
        <v/>
      </c>
      <c r="I126" s="30">
        <f>IF($C126="","",IF(G126&gt;0,(G126+IFERROR(VLOOKUP(F126,機種マスタ!$Q$4:$R$6,2,FALSE),0))*H126,0))</f>
        <v/>
      </c>
    </row>
    <row r="127">
      <c r="A127" s="56" t="n"/>
      <c r="B127" s="41" t="n"/>
      <c r="C127" s="40" t="n"/>
      <c r="D127" s="41" t="n"/>
      <c r="E127" s="30">
        <f>IF($C127="","",IF($B127="YM",IFERROR(INDEX(機種マスタ!$I$4:$I$203,MATCH($C127,機種マスタ!$J$4:$J$203,0)),"未登録"),IFERROR(INDEX(機種マスタ!$A$4:$A$363,MATCH($C127,機種マスタ!$B$4:$B$363,0)),"未登録")))</f>
        <v/>
      </c>
      <c r="F127" s="30">
        <f>IF($C127="","",IF($B127="YM",IFERROR(INDEX(機種マスタ!$K$4:$K$203,MATCH($C127,機種マスタ!$J$4:$J$203,0)),"-"),IFERROR(INDEX(機種マスタ!$C$4:$C$363,MATCH($C127,機種マスタ!$B$4:$B$363,0)),"-")))</f>
        <v/>
      </c>
      <c r="G127" s="30">
        <f>IF($C127="","",IF($B127="YM",IFERROR(N(INDEX(機種マスタ!$L$4:$L$203,MATCH($C127,機種マスタ!$J$4:$J$203,0))),0),IFERROR(N(INDEX(機種マスタ!$D$4:$D$363,MATCH($C127,機種マスタ!$B$4:$B$363,0))),0)))</f>
        <v/>
      </c>
      <c r="H127" s="30">
        <f>IF($C127="","",IF($D127="",1,$D127))</f>
        <v/>
      </c>
      <c r="I127" s="30">
        <f>IF($C127="","",IF(G127&gt;0,(G127+IFERROR(VLOOKUP(F127,機種マスタ!$Q$4:$R$6,2,FALSE),0))*H127,0))</f>
        <v/>
      </c>
    </row>
    <row r="128">
      <c r="A128" s="56" t="n"/>
      <c r="B128" s="41" t="n"/>
      <c r="C128" s="40" t="n"/>
      <c r="D128" s="41" t="n"/>
      <c r="E128" s="30">
        <f>IF($C128="","",IF($B128="YM",IFERROR(INDEX(機種マスタ!$I$4:$I$203,MATCH($C128,機種マスタ!$J$4:$J$203,0)),"未登録"),IFERROR(INDEX(機種マスタ!$A$4:$A$363,MATCH($C128,機種マスタ!$B$4:$B$363,0)),"未登録")))</f>
        <v/>
      </c>
      <c r="F128" s="30">
        <f>IF($C128="","",IF($B128="YM",IFERROR(INDEX(機種マスタ!$K$4:$K$203,MATCH($C128,機種マスタ!$J$4:$J$203,0)),"-"),IFERROR(INDEX(機種マスタ!$C$4:$C$363,MATCH($C128,機種マスタ!$B$4:$B$363,0)),"-")))</f>
        <v/>
      </c>
      <c r="G128" s="30">
        <f>IF($C128="","",IF($B128="YM",IFERROR(N(INDEX(機種マスタ!$L$4:$L$203,MATCH($C128,機種マスタ!$J$4:$J$203,0))),0),IFERROR(N(INDEX(機種マスタ!$D$4:$D$363,MATCH($C128,機種マスタ!$B$4:$B$363,0))),0)))</f>
        <v/>
      </c>
      <c r="H128" s="30">
        <f>IF($C128="","",IF($D128="",1,$D128))</f>
        <v/>
      </c>
      <c r="I128" s="30">
        <f>IF($C128="","",IF(G128&gt;0,(G128+IFERROR(VLOOKUP(F128,機種マスタ!$Q$4:$R$6,2,FALSE),0))*H128,0))</f>
        <v/>
      </c>
    </row>
    <row r="129">
      <c r="A129" s="56" t="n"/>
      <c r="B129" s="41" t="n"/>
      <c r="C129" s="40" t="n"/>
      <c r="D129" s="41" t="n"/>
      <c r="E129" s="30">
        <f>IF($C129="","",IF($B129="YM",IFERROR(INDEX(機種マスタ!$I$4:$I$203,MATCH($C129,機種マスタ!$J$4:$J$203,0)),"未登録"),IFERROR(INDEX(機種マスタ!$A$4:$A$363,MATCH($C129,機種マスタ!$B$4:$B$363,0)),"未登録")))</f>
        <v/>
      </c>
      <c r="F129" s="30">
        <f>IF($C129="","",IF($B129="YM",IFERROR(INDEX(機種マスタ!$K$4:$K$203,MATCH($C129,機種マスタ!$J$4:$J$203,0)),"-"),IFERROR(INDEX(機種マスタ!$C$4:$C$363,MATCH($C129,機種マスタ!$B$4:$B$363,0)),"-")))</f>
        <v/>
      </c>
      <c r="G129" s="30">
        <f>IF($C129="","",IF($B129="YM",IFERROR(N(INDEX(機種マスタ!$L$4:$L$203,MATCH($C129,機種マスタ!$J$4:$J$203,0))),0),IFERROR(N(INDEX(機種マスタ!$D$4:$D$363,MATCH($C129,機種マスタ!$B$4:$B$363,0))),0)))</f>
        <v/>
      </c>
      <c r="H129" s="30">
        <f>IF($C129="","",IF($D129="",1,$D129))</f>
        <v/>
      </c>
      <c r="I129" s="30">
        <f>IF($C129="","",IF(G129&gt;0,(G129+IFERROR(VLOOKUP(F129,機種マスタ!$Q$4:$R$6,2,FALSE),0))*H129,0))</f>
        <v/>
      </c>
    </row>
    <row r="130">
      <c r="A130" s="56" t="n"/>
      <c r="B130" s="41" t="n"/>
      <c r="C130" s="40" t="n"/>
      <c r="D130" s="41" t="n"/>
      <c r="E130" s="30">
        <f>IF($C130="","",IF($B130="YM",IFERROR(INDEX(機種マスタ!$I$4:$I$203,MATCH($C130,機種マスタ!$J$4:$J$203,0)),"未登録"),IFERROR(INDEX(機種マスタ!$A$4:$A$363,MATCH($C130,機種マスタ!$B$4:$B$363,0)),"未登録")))</f>
        <v/>
      </c>
      <c r="F130" s="30">
        <f>IF($C130="","",IF($B130="YM",IFERROR(INDEX(機種マスタ!$K$4:$K$203,MATCH($C130,機種マスタ!$J$4:$J$203,0)),"-"),IFERROR(INDEX(機種マスタ!$C$4:$C$363,MATCH($C130,機種マスタ!$B$4:$B$363,0)),"-")))</f>
        <v/>
      </c>
      <c r="G130" s="30">
        <f>IF($C130="","",IF($B130="YM",IFERROR(N(INDEX(機種マスタ!$L$4:$L$203,MATCH($C130,機種マスタ!$J$4:$J$203,0))),0),IFERROR(N(INDEX(機種マスタ!$D$4:$D$363,MATCH($C130,機種マスタ!$B$4:$B$363,0))),0)))</f>
        <v/>
      </c>
      <c r="H130" s="30">
        <f>IF($C130="","",IF($D130="",1,$D130))</f>
        <v/>
      </c>
      <c r="I130" s="30">
        <f>IF($C130="","",IF(G130&gt;0,(G130+IFERROR(VLOOKUP(F130,機種マスタ!$Q$4:$R$6,2,FALSE),0))*H130,0))</f>
        <v/>
      </c>
    </row>
    <row r="131">
      <c r="A131" s="56" t="n"/>
      <c r="B131" s="41" t="n"/>
      <c r="C131" s="40" t="n"/>
      <c r="D131" s="41" t="n"/>
      <c r="E131" s="30">
        <f>IF($C131="","",IF($B131="YM",IFERROR(INDEX(機種マスタ!$I$4:$I$203,MATCH($C131,機種マスタ!$J$4:$J$203,0)),"未登録"),IFERROR(INDEX(機種マスタ!$A$4:$A$363,MATCH($C131,機種マスタ!$B$4:$B$363,0)),"未登録")))</f>
        <v/>
      </c>
      <c r="F131" s="30">
        <f>IF($C131="","",IF($B131="YM",IFERROR(INDEX(機種マスタ!$K$4:$K$203,MATCH($C131,機種マスタ!$J$4:$J$203,0)),"-"),IFERROR(INDEX(機種マスタ!$C$4:$C$363,MATCH($C131,機種マスタ!$B$4:$B$363,0)),"-")))</f>
        <v/>
      </c>
      <c r="G131" s="30">
        <f>IF($C131="","",IF($B131="YM",IFERROR(N(INDEX(機種マスタ!$L$4:$L$203,MATCH($C131,機種マスタ!$J$4:$J$203,0))),0),IFERROR(N(INDEX(機種マスタ!$D$4:$D$363,MATCH($C131,機種マスタ!$B$4:$B$363,0))),0)))</f>
        <v/>
      </c>
      <c r="H131" s="30">
        <f>IF($C131="","",IF($D131="",1,$D131))</f>
        <v/>
      </c>
      <c r="I131" s="30">
        <f>IF($C131="","",IF(G131&gt;0,(G131+IFERROR(VLOOKUP(F131,機種マスタ!$Q$4:$R$6,2,FALSE),0))*H131,0))</f>
        <v/>
      </c>
    </row>
    <row r="132">
      <c r="A132" s="56" t="n"/>
      <c r="B132" s="41" t="n"/>
      <c r="C132" s="40" t="n"/>
      <c r="D132" s="41" t="n"/>
      <c r="E132" s="30">
        <f>IF($C132="","",IF($B132="YM",IFERROR(INDEX(機種マスタ!$I$4:$I$203,MATCH($C132,機種マスタ!$J$4:$J$203,0)),"未登録"),IFERROR(INDEX(機種マスタ!$A$4:$A$363,MATCH($C132,機種マスタ!$B$4:$B$363,0)),"未登録")))</f>
        <v/>
      </c>
      <c r="F132" s="30">
        <f>IF($C132="","",IF($B132="YM",IFERROR(INDEX(機種マスタ!$K$4:$K$203,MATCH($C132,機種マスタ!$J$4:$J$203,0)),"-"),IFERROR(INDEX(機種マスタ!$C$4:$C$363,MATCH($C132,機種マスタ!$B$4:$B$363,0)),"-")))</f>
        <v/>
      </c>
      <c r="G132" s="30">
        <f>IF($C132="","",IF($B132="YM",IFERROR(N(INDEX(機種マスタ!$L$4:$L$203,MATCH($C132,機種マスタ!$J$4:$J$203,0))),0),IFERROR(N(INDEX(機種マスタ!$D$4:$D$363,MATCH($C132,機種マスタ!$B$4:$B$363,0))),0)))</f>
        <v/>
      </c>
      <c r="H132" s="30">
        <f>IF($C132="","",IF($D132="",1,$D132))</f>
        <v/>
      </c>
      <c r="I132" s="30">
        <f>IF($C132="","",IF(G132&gt;0,(G132+IFERROR(VLOOKUP(F132,機種マスタ!$Q$4:$R$6,2,FALSE),0))*H132,0))</f>
        <v/>
      </c>
    </row>
    <row r="133">
      <c r="A133" s="56" t="n"/>
      <c r="B133" s="41" t="n"/>
      <c r="C133" s="40" t="n"/>
      <c r="D133" s="41" t="n"/>
      <c r="E133" s="30">
        <f>IF($C133="","",IF($B133="YM",IFERROR(INDEX(機種マスタ!$I$4:$I$203,MATCH($C133,機種マスタ!$J$4:$J$203,0)),"未登録"),IFERROR(INDEX(機種マスタ!$A$4:$A$363,MATCH($C133,機種マスタ!$B$4:$B$363,0)),"未登録")))</f>
        <v/>
      </c>
      <c r="F133" s="30">
        <f>IF($C133="","",IF($B133="YM",IFERROR(INDEX(機種マスタ!$K$4:$K$203,MATCH($C133,機種マスタ!$J$4:$J$203,0)),"-"),IFERROR(INDEX(機種マスタ!$C$4:$C$363,MATCH($C133,機種マスタ!$B$4:$B$363,0)),"-")))</f>
        <v/>
      </c>
      <c r="G133" s="30">
        <f>IF($C133="","",IF($B133="YM",IFERROR(N(INDEX(機種マスタ!$L$4:$L$203,MATCH($C133,機種マスタ!$J$4:$J$203,0))),0),IFERROR(N(INDEX(機種マスタ!$D$4:$D$363,MATCH($C133,機種マスタ!$B$4:$B$363,0))),0)))</f>
        <v/>
      </c>
      <c r="H133" s="30">
        <f>IF($C133="","",IF($D133="",1,$D133))</f>
        <v/>
      </c>
      <c r="I133" s="30">
        <f>IF($C133="","",IF(G133&gt;0,(G133+IFERROR(VLOOKUP(F133,機種マスタ!$Q$4:$R$6,2,FALSE),0))*H133,0))</f>
        <v/>
      </c>
    </row>
    <row r="134">
      <c r="A134" s="56" t="n"/>
      <c r="B134" s="41" t="n"/>
      <c r="C134" s="40" t="n"/>
      <c r="D134" s="41" t="n"/>
      <c r="E134" s="30">
        <f>IF($C134="","",IF($B134="YM",IFERROR(INDEX(機種マスタ!$I$4:$I$203,MATCH($C134,機種マスタ!$J$4:$J$203,0)),"未登録"),IFERROR(INDEX(機種マスタ!$A$4:$A$363,MATCH($C134,機種マスタ!$B$4:$B$363,0)),"未登録")))</f>
        <v/>
      </c>
      <c r="F134" s="30">
        <f>IF($C134="","",IF($B134="YM",IFERROR(INDEX(機種マスタ!$K$4:$K$203,MATCH($C134,機種マスタ!$J$4:$J$203,0)),"-"),IFERROR(INDEX(機種マスタ!$C$4:$C$363,MATCH($C134,機種マスタ!$B$4:$B$363,0)),"-")))</f>
        <v/>
      </c>
      <c r="G134" s="30">
        <f>IF($C134="","",IF($B134="YM",IFERROR(N(INDEX(機種マスタ!$L$4:$L$203,MATCH($C134,機種マスタ!$J$4:$J$203,0))),0),IFERROR(N(INDEX(機種マスタ!$D$4:$D$363,MATCH($C134,機種マスタ!$B$4:$B$363,0))),0)))</f>
        <v/>
      </c>
      <c r="H134" s="30">
        <f>IF($C134="","",IF($D134="",1,$D134))</f>
        <v/>
      </c>
      <c r="I134" s="30">
        <f>IF($C134="","",IF(G134&gt;0,(G134+IFERROR(VLOOKUP(F134,機種マスタ!$Q$4:$R$6,2,FALSE),0))*H134,0))</f>
        <v/>
      </c>
    </row>
    <row r="135">
      <c r="A135" s="56" t="n"/>
      <c r="B135" s="41" t="n"/>
      <c r="C135" s="40" t="n"/>
      <c r="D135" s="41" t="n"/>
      <c r="E135" s="30">
        <f>IF($C135="","",IF($B135="YM",IFERROR(INDEX(機種マスタ!$I$4:$I$203,MATCH($C135,機種マスタ!$J$4:$J$203,0)),"未登録"),IFERROR(INDEX(機種マスタ!$A$4:$A$363,MATCH($C135,機種マスタ!$B$4:$B$363,0)),"未登録")))</f>
        <v/>
      </c>
      <c r="F135" s="30">
        <f>IF($C135="","",IF($B135="YM",IFERROR(INDEX(機種マスタ!$K$4:$K$203,MATCH($C135,機種マスタ!$J$4:$J$203,0)),"-"),IFERROR(INDEX(機種マスタ!$C$4:$C$363,MATCH($C135,機種マスタ!$B$4:$B$363,0)),"-")))</f>
        <v/>
      </c>
      <c r="G135" s="30">
        <f>IF($C135="","",IF($B135="YM",IFERROR(N(INDEX(機種マスタ!$L$4:$L$203,MATCH($C135,機種マスタ!$J$4:$J$203,0))),0),IFERROR(N(INDEX(機種マスタ!$D$4:$D$363,MATCH($C135,機種マスタ!$B$4:$B$363,0))),0)))</f>
        <v/>
      </c>
      <c r="H135" s="30">
        <f>IF($C135="","",IF($D135="",1,$D135))</f>
        <v/>
      </c>
      <c r="I135" s="30">
        <f>IF($C135="","",IF(G135&gt;0,(G135+IFERROR(VLOOKUP(F135,機種マスタ!$Q$4:$R$6,2,FALSE),0))*H135,0))</f>
        <v/>
      </c>
    </row>
    <row r="136">
      <c r="A136" s="56" t="n"/>
      <c r="B136" s="41" t="n"/>
      <c r="C136" s="40" t="n"/>
      <c r="D136" s="41" t="n"/>
      <c r="E136" s="30">
        <f>IF($C136="","",IF($B136="YM",IFERROR(INDEX(機種マスタ!$I$4:$I$203,MATCH($C136,機種マスタ!$J$4:$J$203,0)),"未登録"),IFERROR(INDEX(機種マスタ!$A$4:$A$363,MATCH($C136,機種マスタ!$B$4:$B$363,0)),"未登録")))</f>
        <v/>
      </c>
      <c r="F136" s="30">
        <f>IF($C136="","",IF($B136="YM",IFERROR(INDEX(機種マスタ!$K$4:$K$203,MATCH($C136,機種マスタ!$J$4:$J$203,0)),"-"),IFERROR(INDEX(機種マスタ!$C$4:$C$363,MATCH($C136,機種マスタ!$B$4:$B$363,0)),"-")))</f>
        <v/>
      </c>
      <c r="G136" s="30">
        <f>IF($C136="","",IF($B136="YM",IFERROR(N(INDEX(機種マスタ!$L$4:$L$203,MATCH($C136,機種マスタ!$J$4:$J$203,0))),0),IFERROR(N(INDEX(機種マスタ!$D$4:$D$363,MATCH($C136,機種マスタ!$B$4:$B$363,0))),0)))</f>
        <v/>
      </c>
      <c r="H136" s="30">
        <f>IF($C136="","",IF($D136="",1,$D136))</f>
        <v/>
      </c>
      <c r="I136" s="30">
        <f>IF($C136="","",IF(G136&gt;0,(G136+IFERROR(VLOOKUP(F136,機種マスタ!$Q$4:$R$6,2,FALSE),0))*H136,0))</f>
        <v/>
      </c>
    </row>
    <row r="137">
      <c r="A137" s="56" t="n"/>
      <c r="B137" s="41" t="n"/>
      <c r="C137" s="40" t="n"/>
      <c r="D137" s="41" t="n"/>
      <c r="E137" s="30">
        <f>IF($C137="","",IF($B137="YM",IFERROR(INDEX(機種マスタ!$I$4:$I$203,MATCH($C137,機種マスタ!$J$4:$J$203,0)),"未登録"),IFERROR(INDEX(機種マスタ!$A$4:$A$363,MATCH($C137,機種マスタ!$B$4:$B$363,0)),"未登録")))</f>
        <v/>
      </c>
      <c r="F137" s="30">
        <f>IF($C137="","",IF($B137="YM",IFERROR(INDEX(機種マスタ!$K$4:$K$203,MATCH($C137,機種マスタ!$J$4:$J$203,0)),"-"),IFERROR(INDEX(機種マスタ!$C$4:$C$363,MATCH($C137,機種マスタ!$B$4:$B$363,0)),"-")))</f>
        <v/>
      </c>
      <c r="G137" s="30">
        <f>IF($C137="","",IF($B137="YM",IFERROR(N(INDEX(機種マスタ!$L$4:$L$203,MATCH($C137,機種マスタ!$J$4:$J$203,0))),0),IFERROR(N(INDEX(機種マスタ!$D$4:$D$363,MATCH($C137,機種マスタ!$B$4:$B$363,0))),0)))</f>
        <v/>
      </c>
      <c r="H137" s="30">
        <f>IF($C137="","",IF($D137="",1,$D137))</f>
        <v/>
      </c>
      <c r="I137" s="30">
        <f>IF($C137="","",IF(G137&gt;0,(G137+IFERROR(VLOOKUP(F137,機種マスタ!$Q$4:$R$6,2,FALSE),0))*H137,0))</f>
        <v/>
      </c>
    </row>
    <row r="138">
      <c r="A138" s="56" t="n"/>
      <c r="B138" s="41" t="n"/>
      <c r="C138" s="40" t="n"/>
      <c r="D138" s="41" t="n"/>
      <c r="E138" s="30">
        <f>IF($C138="","",IF($B138="YM",IFERROR(INDEX(機種マスタ!$I$4:$I$203,MATCH($C138,機種マスタ!$J$4:$J$203,0)),"未登録"),IFERROR(INDEX(機種マスタ!$A$4:$A$363,MATCH($C138,機種マスタ!$B$4:$B$363,0)),"未登録")))</f>
        <v/>
      </c>
      <c r="F138" s="30">
        <f>IF($C138="","",IF($B138="YM",IFERROR(INDEX(機種マスタ!$K$4:$K$203,MATCH($C138,機種マスタ!$J$4:$J$203,0)),"-"),IFERROR(INDEX(機種マスタ!$C$4:$C$363,MATCH($C138,機種マスタ!$B$4:$B$363,0)),"-")))</f>
        <v/>
      </c>
      <c r="G138" s="30">
        <f>IF($C138="","",IF($B138="YM",IFERROR(N(INDEX(機種マスタ!$L$4:$L$203,MATCH($C138,機種マスタ!$J$4:$J$203,0))),0),IFERROR(N(INDEX(機種マスタ!$D$4:$D$363,MATCH($C138,機種マスタ!$B$4:$B$363,0))),0)))</f>
        <v/>
      </c>
      <c r="H138" s="30">
        <f>IF($C138="","",IF($D138="",1,$D138))</f>
        <v/>
      </c>
      <c r="I138" s="30">
        <f>IF($C138="","",IF(G138&gt;0,(G138+IFERROR(VLOOKUP(F138,機種マスタ!$Q$4:$R$6,2,FALSE),0))*H138,0))</f>
        <v/>
      </c>
    </row>
    <row r="139">
      <c r="A139" s="56" t="n"/>
      <c r="B139" s="41" t="n"/>
      <c r="C139" s="40" t="n"/>
      <c r="D139" s="41" t="n"/>
      <c r="E139" s="30">
        <f>IF($C139="","",IF($B139="YM",IFERROR(INDEX(機種マスタ!$I$4:$I$203,MATCH($C139,機種マスタ!$J$4:$J$203,0)),"未登録"),IFERROR(INDEX(機種マスタ!$A$4:$A$363,MATCH($C139,機種マスタ!$B$4:$B$363,0)),"未登録")))</f>
        <v/>
      </c>
      <c r="F139" s="30">
        <f>IF($C139="","",IF($B139="YM",IFERROR(INDEX(機種マスタ!$K$4:$K$203,MATCH($C139,機種マスタ!$J$4:$J$203,0)),"-"),IFERROR(INDEX(機種マスタ!$C$4:$C$363,MATCH($C139,機種マスタ!$B$4:$B$363,0)),"-")))</f>
        <v/>
      </c>
      <c r="G139" s="30">
        <f>IF($C139="","",IF($B139="YM",IFERROR(N(INDEX(機種マスタ!$L$4:$L$203,MATCH($C139,機種マスタ!$J$4:$J$203,0))),0),IFERROR(N(INDEX(機種マスタ!$D$4:$D$363,MATCH($C139,機種マスタ!$B$4:$B$363,0))),0)))</f>
        <v/>
      </c>
      <c r="H139" s="30">
        <f>IF($C139="","",IF($D139="",1,$D139))</f>
        <v/>
      </c>
      <c r="I139" s="30">
        <f>IF($C139="","",IF(G139&gt;0,(G139+IFERROR(VLOOKUP(F139,機種マスタ!$Q$4:$R$6,2,FALSE),0))*H139,0))</f>
        <v/>
      </c>
    </row>
    <row r="140">
      <c r="A140" s="56" t="n"/>
      <c r="B140" s="41" t="n"/>
      <c r="C140" s="40" t="n"/>
      <c r="D140" s="41" t="n"/>
      <c r="E140" s="30">
        <f>IF($C140="","",IF($B140="YM",IFERROR(INDEX(機種マスタ!$I$4:$I$203,MATCH($C140,機種マスタ!$J$4:$J$203,0)),"未登録"),IFERROR(INDEX(機種マスタ!$A$4:$A$363,MATCH($C140,機種マスタ!$B$4:$B$363,0)),"未登録")))</f>
        <v/>
      </c>
      <c r="F140" s="30">
        <f>IF($C140="","",IF($B140="YM",IFERROR(INDEX(機種マスタ!$K$4:$K$203,MATCH($C140,機種マスタ!$J$4:$J$203,0)),"-"),IFERROR(INDEX(機種マスタ!$C$4:$C$363,MATCH($C140,機種マスタ!$B$4:$B$363,0)),"-")))</f>
        <v/>
      </c>
      <c r="G140" s="30">
        <f>IF($C140="","",IF($B140="YM",IFERROR(N(INDEX(機種マスタ!$L$4:$L$203,MATCH($C140,機種マスタ!$J$4:$J$203,0))),0),IFERROR(N(INDEX(機種マスタ!$D$4:$D$363,MATCH($C140,機種マスタ!$B$4:$B$363,0))),0)))</f>
        <v/>
      </c>
      <c r="H140" s="30">
        <f>IF($C140="","",IF($D140="",1,$D140))</f>
        <v/>
      </c>
      <c r="I140" s="30">
        <f>IF($C140="","",IF(G140&gt;0,(G140+IFERROR(VLOOKUP(F140,機種マスタ!$Q$4:$R$6,2,FALSE),0))*H140,0))</f>
        <v/>
      </c>
    </row>
    <row r="141">
      <c r="A141" s="56" t="n"/>
      <c r="B141" s="41" t="n"/>
      <c r="C141" s="40" t="n"/>
      <c r="D141" s="41" t="n"/>
      <c r="E141" s="30">
        <f>IF($C141="","",IF($B141="YM",IFERROR(INDEX(機種マスタ!$I$4:$I$203,MATCH($C141,機種マスタ!$J$4:$J$203,0)),"未登録"),IFERROR(INDEX(機種マスタ!$A$4:$A$363,MATCH($C141,機種マスタ!$B$4:$B$363,0)),"未登録")))</f>
        <v/>
      </c>
      <c r="F141" s="30">
        <f>IF($C141="","",IF($B141="YM",IFERROR(INDEX(機種マスタ!$K$4:$K$203,MATCH($C141,機種マスタ!$J$4:$J$203,0)),"-"),IFERROR(INDEX(機種マスタ!$C$4:$C$363,MATCH($C141,機種マスタ!$B$4:$B$363,0)),"-")))</f>
        <v/>
      </c>
      <c r="G141" s="30">
        <f>IF($C141="","",IF($B141="YM",IFERROR(N(INDEX(機種マスタ!$L$4:$L$203,MATCH($C141,機種マスタ!$J$4:$J$203,0))),0),IFERROR(N(INDEX(機種マスタ!$D$4:$D$363,MATCH($C141,機種マスタ!$B$4:$B$363,0))),0)))</f>
        <v/>
      </c>
      <c r="H141" s="30">
        <f>IF($C141="","",IF($D141="",1,$D141))</f>
        <v/>
      </c>
      <c r="I141" s="30">
        <f>IF($C141="","",IF(G141&gt;0,(G141+IFERROR(VLOOKUP(F141,機種マスタ!$Q$4:$R$6,2,FALSE),0))*H141,0))</f>
        <v/>
      </c>
    </row>
    <row r="142">
      <c r="A142" s="56" t="n"/>
      <c r="B142" s="41" t="n"/>
      <c r="C142" s="40" t="n"/>
      <c r="D142" s="41" t="n"/>
      <c r="E142" s="30">
        <f>IF($C142="","",IF($B142="YM",IFERROR(INDEX(機種マスタ!$I$4:$I$203,MATCH($C142,機種マスタ!$J$4:$J$203,0)),"未登録"),IFERROR(INDEX(機種マスタ!$A$4:$A$363,MATCH($C142,機種マスタ!$B$4:$B$363,0)),"未登録")))</f>
        <v/>
      </c>
      <c r="F142" s="30">
        <f>IF($C142="","",IF($B142="YM",IFERROR(INDEX(機種マスタ!$K$4:$K$203,MATCH($C142,機種マスタ!$J$4:$J$203,0)),"-"),IFERROR(INDEX(機種マスタ!$C$4:$C$363,MATCH($C142,機種マスタ!$B$4:$B$363,0)),"-")))</f>
        <v/>
      </c>
      <c r="G142" s="30">
        <f>IF($C142="","",IF($B142="YM",IFERROR(N(INDEX(機種マスタ!$L$4:$L$203,MATCH($C142,機種マスタ!$J$4:$J$203,0))),0),IFERROR(N(INDEX(機種マスタ!$D$4:$D$363,MATCH($C142,機種マスタ!$B$4:$B$363,0))),0)))</f>
        <v/>
      </c>
      <c r="H142" s="30">
        <f>IF($C142="","",IF($D142="",1,$D142))</f>
        <v/>
      </c>
      <c r="I142" s="30">
        <f>IF($C142="","",IF(G142&gt;0,(G142+IFERROR(VLOOKUP(F142,機種マスタ!$Q$4:$R$6,2,FALSE),0))*H142,0))</f>
        <v/>
      </c>
    </row>
    <row r="143">
      <c r="A143" s="56" t="n"/>
      <c r="B143" s="41" t="n"/>
      <c r="C143" s="40" t="n"/>
      <c r="D143" s="41" t="n"/>
      <c r="E143" s="30">
        <f>IF($C143="","",IF($B143="YM",IFERROR(INDEX(機種マスタ!$I$4:$I$203,MATCH($C143,機種マスタ!$J$4:$J$203,0)),"未登録"),IFERROR(INDEX(機種マスタ!$A$4:$A$363,MATCH($C143,機種マスタ!$B$4:$B$363,0)),"未登録")))</f>
        <v/>
      </c>
      <c r="F143" s="30">
        <f>IF($C143="","",IF($B143="YM",IFERROR(INDEX(機種マスタ!$K$4:$K$203,MATCH($C143,機種マスタ!$J$4:$J$203,0)),"-"),IFERROR(INDEX(機種マスタ!$C$4:$C$363,MATCH($C143,機種マスタ!$B$4:$B$363,0)),"-")))</f>
        <v/>
      </c>
      <c r="G143" s="30">
        <f>IF($C143="","",IF($B143="YM",IFERROR(N(INDEX(機種マスタ!$L$4:$L$203,MATCH($C143,機種マスタ!$J$4:$J$203,0))),0),IFERROR(N(INDEX(機種マスタ!$D$4:$D$363,MATCH($C143,機種マスタ!$B$4:$B$363,0))),0)))</f>
        <v/>
      </c>
      <c r="H143" s="30">
        <f>IF($C143="","",IF($D143="",1,$D143))</f>
        <v/>
      </c>
      <c r="I143" s="30">
        <f>IF($C143="","",IF(G143&gt;0,(G143+IFERROR(VLOOKUP(F143,機種マスタ!$Q$4:$R$6,2,FALSE),0))*H143,0))</f>
        <v/>
      </c>
    </row>
    <row r="144">
      <c r="A144" s="56" t="n"/>
      <c r="B144" s="41" t="n"/>
      <c r="C144" s="40" t="n"/>
      <c r="D144" s="41" t="n"/>
      <c r="E144" s="30">
        <f>IF($C144="","",IF($B144="YM",IFERROR(INDEX(機種マスタ!$I$4:$I$203,MATCH($C144,機種マスタ!$J$4:$J$203,0)),"未登録"),IFERROR(INDEX(機種マスタ!$A$4:$A$363,MATCH($C144,機種マスタ!$B$4:$B$363,0)),"未登録")))</f>
        <v/>
      </c>
      <c r="F144" s="30">
        <f>IF($C144="","",IF($B144="YM",IFERROR(INDEX(機種マスタ!$K$4:$K$203,MATCH($C144,機種マスタ!$J$4:$J$203,0)),"-"),IFERROR(INDEX(機種マスタ!$C$4:$C$363,MATCH($C144,機種マスタ!$B$4:$B$363,0)),"-")))</f>
        <v/>
      </c>
      <c r="G144" s="30">
        <f>IF($C144="","",IF($B144="YM",IFERROR(N(INDEX(機種マスタ!$L$4:$L$203,MATCH($C144,機種マスタ!$J$4:$J$203,0))),0),IFERROR(N(INDEX(機種マスタ!$D$4:$D$363,MATCH($C144,機種マスタ!$B$4:$B$363,0))),0)))</f>
        <v/>
      </c>
      <c r="H144" s="30">
        <f>IF($C144="","",IF($D144="",1,$D144))</f>
        <v/>
      </c>
      <c r="I144" s="30">
        <f>IF($C144="","",IF(G144&gt;0,(G144+IFERROR(VLOOKUP(F144,機種マスタ!$Q$4:$R$6,2,FALSE),0))*H144,0))</f>
        <v/>
      </c>
    </row>
    <row r="145">
      <c r="A145" s="56" t="n"/>
      <c r="B145" s="41" t="n"/>
      <c r="C145" s="40" t="n"/>
      <c r="D145" s="41" t="n"/>
      <c r="E145" s="30">
        <f>IF($C145="","",IF($B145="YM",IFERROR(INDEX(機種マスタ!$I$4:$I$203,MATCH($C145,機種マスタ!$J$4:$J$203,0)),"未登録"),IFERROR(INDEX(機種マスタ!$A$4:$A$363,MATCH($C145,機種マスタ!$B$4:$B$363,0)),"未登録")))</f>
        <v/>
      </c>
      <c r="F145" s="30">
        <f>IF($C145="","",IF($B145="YM",IFERROR(INDEX(機種マスタ!$K$4:$K$203,MATCH($C145,機種マスタ!$J$4:$J$203,0)),"-"),IFERROR(INDEX(機種マスタ!$C$4:$C$363,MATCH($C145,機種マスタ!$B$4:$B$363,0)),"-")))</f>
        <v/>
      </c>
      <c r="G145" s="30">
        <f>IF($C145="","",IF($B145="YM",IFERROR(N(INDEX(機種マスタ!$L$4:$L$203,MATCH($C145,機種マスタ!$J$4:$J$203,0))),0),IFERROR(N(INDEX(機種マスタ!$D$4:$D$363,MATCH($C145,機種マスタ!$B$4:$B$363,0))),0)))</f>
        <v/>
      </c>
      <c r="H145" s="30">
        <f>IF($C145="","",IF($D145="",1,$D145))</f>
        <v/>
      </c>
      <c r="I145" s="30">
        <f>IF($C145="","",IF(G145&gt;0,(G145+IFERROR(VLOOKUP(F145,機種マスタ!$Q$4:$R$6,2,FALSE),0))*H145,0))</f>
        <v/>
      </c>
    </row>
    <row r="146">
      <c r="A146" s="56" t="n"/>
      <c r="B146" s="41" t="n"/>
      <c r="C146" s="40" t="n"/>
      <c r="D146" s="41" t="n"/>
      <c r="E146" s="30">
        <f>IF($C146="","",IF($B146="YM",IFERROR(INDEX(機種マスタ!$I$4:$I$203,MATCH($C146,機種マスタ!$J$4:$J$203,0)),"未登録"),IFERROR(INDEX(機種マスタ!$A$4:$A$363,MATCH($C146,機種マスタ!$B$4:$B$363,0)),"未登録")))</f>
        <v/>
      </c>
      <c r="F146" s="30">
        <f>IF($C146="","",IF($B146="YM",IFERROR(INDEX(機種マスタ!$K$4:$K$203,MATCH($C146,機種マスタ!$J$4:$J$203,0)),"-"),IFERROR(INDEX(機種マスタ!$C$4:$C$363,MATCH($C146,機種マスタ!$B$4:$B$363,0)),"-")))</f>
        <v/>
      </c>
      <c r="G146" s="30">
        <f>IF($C146="","",IF($B146="YM",IFERROR(N(INDEX(機種マスタ!$L$4:$L$203,MATCH($C146,機種マスタ!$J$4:$J$203,0))),0),IFERROR(N(INDEX(機種マスタ!$D$4:$D$363,MATCH($C146,機種マスタ!$B$4:$B$363,0))),0)))</f>
        <v/>
      </c>
      <c r="H146" s="30">
        <f>IF($C146="","",IF($D146="",1,$D146))</f>
        <v/>
      </c>
      <c r="I146" s="30">
        <f>IF($C146="","",IF(G146&gt;0,(G146+IFERROR(VLOOKUP(F146,機種マスタ!$Q$4:$R$6,2,FALSE),0))*H146,0))</f>
        <v/>
      </c>
    </row>
    <row r="147">
      <c r="A147" s="56" t="n"/>
      <c r="B147" s="41" t="n"/>
      <c r="C147" s="40" t="n"/>
      <c r="D147" s="41" t="n"/>
      <c r="E147" s="30">
        <f>IF($C147="","",IF($B147="YM",IFERROR(INDEX(機種マスタ!$I$4:$I$203,MATCH($C147,機種マスタ!$J$4:$J$203,0)),"未登録"),IFERROR(INDEX(機種マスタ!$A$4:$A$363,MATCH($C147,機種マスタ!$B$4:$B$363,0)),"未登録")))</f>
        <v/>
      </c>
      <c r="F147" s="30">
        <f>IF($C147="","",IF($B147="YM",IFERROR(INDEX(機種マスタ!$K$4:$K$203,MATCH($C147,機種マスタ!$J$4:$J$203,0)),"-"),IFERROR(INDEX(機種マスタ!$C$4:$C$363,MATCH($C147,機種マスタ!$B$4:$B$363,0)),"-")))</f>
        <v/>
      </c>
      <c r="G147" s="30">
        <f>IF($C147="","",IF($B147="YM",IFERROR(N(INDEX(機種マスタ!$L$4:$L$203,MATCH($C147,機種マスタ!$J$4:$J$203,0))),0),IFERROR(N(INDEX(機種マスタ!$D$4:$D$363,MATCH($C147,機種マスタ!$B$4:$B$363,0))),0)))</f>
        <v/>
      </c>
      <c r="H147" s="30">
        <f>IF($C147="","",IF($D147="",1,$D147))</f>
        <v/>
      </c>
      <c r="I147" s="30">
        <f>IF($C147="","",IF(G147&gt;0,(G147+IFERROR(VLOOKUP(F147,機種マスタ!$Q$4:$R$6,2,FALSE),0))*H147,0))</f>
        <v/>
      </c>
    </row>
    <row r="148">
      <c r="A148" s="56" t="n"/>
      <c r="B148" s="41" t="n"/>
      <c r="C148" s="40" t="n"/>
      <c r="D148" s="41" t="n"/>
      <c r="E148" s="30">
        <f>IF($C148="","",IF($B148="YM",IFERROR(INDEX(機種マスタ!$I$4:$I$203,MATCH($C148,機種マスタ!$J$4:$J$203,0)),"未登録"),IFERROR(INDEX(機種マスタ!$A$4:$A$363,MATCH($C148,機種マスタ!$B$4:$B$363,0)),"未登録")))</f>
        <v/>
      </c>
      <c r="F148" s="30">
        <f>IF($C148="","",IF($B148="YM",IFERROR(INDEX(機種マスタ!$K$4:$K$203,MATCH($C148,機種マスタ!$J$4:$J$203,0)),"-"),IFERROR(INDEX(機種マスタ!$C$4:$C$363,MATCH($C148,機種マスタ!$B$4:$B$363,0)),"-")))</f>
        <v/>
      </c>
      <c r="G148" s="30">
        <f>IF($C148="","",IF($B148="YM",IFERROR(N(INDEX(機種マスタ!$L$4:$L$203,MATCH($C148,機種マスタ!$J$4:$J$203,0))),0),IFERROR(N(INDEX(機種マスタ!$D$4:$D$363,MATCH($C148,機種マスタ!$B$4:$B$363,0))),0)))</f>
        <v/>
      </c>
      <c r="H148" s="30">
        <f>IF($C148="","",IF($D148="",1,$D148))</f>
        <v/>
      </c>
      <c r="I148" s="30">
        <f>IF($C148="","",IF(G148&gt;0,(G148+IFERROR(VLOOKUP(F148,機種マスタ!$Q$4:$R$6,2,FALSE),0))*H148,0))</f>
        <v/>
      </c>
    </row>
    <row r="149">
      <c r="A149" s="56" t="n"/>
      <c r="B149" s="41" t="n"/>
      <c r="C149" s="40" t="n"/>
      <c r="D149" s="41" t="n"/>
      <c r="E149" s="30">
        <f>IF($C149="","",IF($B149="YM",IFERROR(INDEX(機種マスタ!$I$4:$I$203,MATCH($C149,機種マスタ!$J$4:$J$203,0)),"未登録"),IFERROR(INDEX(機種マスタ!$A$4:$A$363,MATCH($C149,機種マスタ!$B$4:$B$363,0)),"未登録")))</f>
        <v/>
      </c>
      <c r="F149" s="30">
        <f>IF($C149="","",IF($B149="YM",IFERROR(INDEX(機種マスタ!$K$4:$K$203,MATCH($C149,機種マスタ!$J$4:$J$203,0)),"-"),IFERROR(INDEX(機種マスタ!$C$4:$C$363,MATCH($C149,機種マスタ!$B$4:$B$363,0)),"-")))</f>
        <v/>
      </c>
      <c r="G149" s="30">
        <f>IF($C149="","",IF($B149="YM",IFERROR(N(INDEX(機種マスタ!$L$4:$L$203,MATCH($C149,機種マスタ!$J$4:$J$203,0))),0),IFERROR(N(INDEX(機種マスタ!$D$4:$D$363,MATCH($C149,機種マスタ!$B$4:$B$363,0))),0)))</f>
        <v/>
      </c>
      <c r="H149" s="30">
        <f>IF($C149="","",IF($D149="",1,$D149))</f>
        <v/>
      </c>
      <c r="I149" s="30">
        <f>IF($C149="","",IF(G149&gt;0,(G149+IFERROR(VLOOKUP(F149,機種マスタ!$Q$4:$R$6,2,FALSE),0))*H149,0))</f>
        <v/>
      </c>
    </row>
    <row r="150">
      <c r="A150" s="56" t="n"/>
      <c r="B150" s="41" t="n"/>
      <c r="C150" s="40" t="n"/>
      <c r="D150" s="41" t="n"/>
      <c r="E150" s="30">
        <f>IF($C150="","",IF($B150="YM",IFERROR(INDEX(機種マスタ!$I$4:$I$203,MATCH($C150,機種マスタ!$J$4:$J$203,0)),"未登録"),IFERROR(INDEX(機種マスタ!$A$4:$A$363,MATCH($C150,機種マスタ!$B$4:$B$363,0)),"未登録")))</f>
        <v/>
      </c>
      <c r="F150" s="30">
        <f>IF($C150="","",IF($B150="YM",IFERROR(INDEX(機種マスタ!$K$4:$K$203,MATCH($C150,機種マスタ!$J$4:$J$203,0)),"-"),IFERROR(INDEX(機種マスタ!$C$4:$C$363,MATCH($C150,機種マスタ!$B$4:$B$363,0)),"-")))</f>
        <v/>
      </c>
      <c r="G150" s="30">
        <f>IF($C150="","",IF($B150="YM",IFERROR(N(INDEX(機種マスタ!$L$4:$L$203,MATCH($C150,機種マスタ!$J$4:$J$203,0))),0),IFERROR(N(INDEX(機種マスタ!$D$4:$D$363,MATCH($C150,機種マスタ!$B$4:$B$363,0))),0)))</f>
        <v/>
      </c>
      <c r="H150" s="30">
        <f>IF($C150="","",IF($D150="",1,$D150))</f>
        <v/>
      </c>
      <c r="I150" s="30">
        <f>IF($C150="","",IF(G150&gt;0,(G150+IFERROR(VLOOKUP(F150,機種マスタ!$Q$4:$R$6,2,FALSE),0))*H150,0))</f>
        <v/>
      </c>
    </row>
    <row r="151">
      <c r="A151" s="56" t="n"/>
      <c r="B151" s="41" t="n"/>
      <c r="C151" s="40" t="n"/>
      <c r="D151" s="41" t="n"/>
      <c r="E151" s="30">
        <f>IF($C151="","",IF($B151="YM",IFERROR(INDEX(機種マスタ!$I$4:$I$203,MATCH($C151,機種マスタ!$J$4:$J$203,0)),"未登録"),IFERROR(INDEX(機種マスタ!$A$4:$A$363,MATCH($C151,機種マスタ!$B$4:$B$363,0)),"未登録")))</f>
        <v/>
      </c>
      <c r="F151" s="30">
        <f>IF($C151="","",IF($B151="YM",IFERROR(INDEX(機種マスタ!$K$4:$K$203,MATCH($C151,機種マスタ!$J$4:$J$203,0)),"-"),IFERROR(INDEX(機種マスタ!$C$4:$C$363,MATCH($C151,機種マスタ!$B$4:$B$363,0)),"-")))</f>
        <v/>
      </c>
      <c r="G151" s="30">
        <f>IF($C151="","",IF($B151="YM",IFERROR(N(INDEX(機種マスタ!$L$4:$L$203,MATCH($C151,機種マスタ!$J$4:$J$203,0))),0),IFERROR(N(INDEX(機種マスタ!$D$4:$D$363,MATCH($C151,機種マスタ!$B$4:$B$363,0))),0)))</f>
        <v/>
      </c>
      <c r="H151" s="30">
        <f>IF($C151="","",IF($D151="",1,$D151))</f>
        <v/>
      </c>
      <c r="I151" s="30">
        <f>IF($C151="","",IF(G151&gt;0,(G151+IFERROR(VLOOKUP(F151,機種マスタ!$Q$4:$R$6,2,FALSE),0))*H151,0))</f>
        <v/>
      </c>
    </row>
    <row r="152">
      <c r="A152" s="56" t="n"/>
      <c r="B152" s="41" t="n"/>
      <c r="C152" s="40" t="n"/>
      <c r="D152" s="41" t="n"/>
      <c r="E152" s="30">
        <f>IF($C152="","",IF($B152="YM",IFERROR(INDEX(機種マスタ!$I$4:$I$203,MATCH($C152,機種マスタ!$J$4:$J$203,0)),"未登録"),IFERROR(INDEX(機種マスタ!$A$4:$A$363,MATCH($C152,機種マスタ!$B$4:$B$363,0)),"未登録")))</f>
        <v/>
      </c>
      <c r="F152" s="30">
        <f>IF($C152="","",IF($B152="YM",IFERROR(INDEX(機種マスタ!$K$4:$K$203,MATCH($C152,機種マスタ!$J$4:$J$203,0)),"-"),IFERROR(INDEX(機種マスタ!$C$4:$C$363,MATCH($C152,機種マスタ!$B$4:$B$363,0)),"-")))</f>
        <v/>
      </c>
      <c r="G152" s="30">
        <f>IF($C152="","",IF($B152="YM",IFERROR(N(INDEX(機種マスタ!$L$4:$L$203,MATCH($C152,機種マスタ!$J$4:$J$203,0))),0),IFERROR(N(INDEX(機種マスタ!$D$4:$D$363,MATCH($C152,機種マスタ!$B$4:$B$363,0))),0)))</f>
        <v/>
      </c>
      <c r="H152" s="30">
        <f>IF($C152="","",IF($D152="",1,$D152))</f>
        <v/>
      </c>
      <c r="I152" s="30">
        <f>IF($C152="","",IF(G152&gt;0,(G152+IFERROR(VLOOKUP(F152,機種マスタ!$Q$4:$R$6,2,FALSE),0))*H152,0))</f>
        <v/>
      </c>
    </row>
    <row r="153">
      <c r="A153" s="56" t="n"/>
      <c r="B153" s="41" t="n"/>
      <c r="C153" s="40" t="n"/>
      <c r="D153" s="41" t="n"/>
      <c r="E153" s="30">
        <f>IF($C153="","",IF($B153="YM",IFERROR(INDEX(機種マスタ!$I$4:$I$203,MATCH($C153,機種マスタ!$J$4:$J$203,0)),"未登録"),IFERROR(INDEX(機種マスタ!$A$4:$A$363,MATCH($C153,機種マスタ!$B$4:$B$363,0)),"未登録")))</f>
        <v/>
      </c>
      <c r="F153" s="30">
        <f>IF($C153="","",IF($B153="YM",IFERROR(INDEX(機種マスタ!$K$4:$K$203,MATCH($C153,機種マスタ!$J$4:$J$203,0)),"-"),IFERROR(INDEX(機種マスタ!$C$4:$C$363,MATCH($C153,機種マスタ!$B$4:$B$363,0)),"-")))</f>
        <v/>
      </c>
      <c r="G153" s="30">
        <f>IF($C153="","",IF($B153="YM",IFERROR(N(INDEX(機種マスタ!$L$4:$L$203,MATCH($C153,機種マスタ!$J$4:$J$203,0))),0),IFERROR(N(INDEX(機種マスタ!$D$4:$D$363,MATCH($C153,機種マスタ!$B$4:$B$363,0))),0)))</f>
        <v/>
      </c>
      <c r="H153" s="30">
        <f>IF($C153="","",IF($D153="",1,$D153))</f>
        <v/>
      </c>
      <c r="I153" s="30">
        <f>IF($C153="","",IF(G153&gt;0,(G153+IFERROR(VLOOKUP(F153,機種マスタ!$Q$4:$R$6,2,FALSE),0))*H153,0))</f>
        <v/>
      </c>
    </row>
    <row r="154">
      <c r="A154" s="56" t="n"/>
      <c r="B154" s="41" t="n"/>
      <c r="C154" s="40" t="n"/>
      <c r="D154" s="41" t="n"/>
      <c r="E154" s="30">
        <f>IF($C154="","",IF($B154="YM",IFERROR(INDEX(機種マスタ!$I$4:$I$203,MATCH($C154,機種マスタ!$J$4:$J$203,0)),"未登録"),IFERROR(INDEX(機種マスタ!$A$4:$A$363,MATCH($C154,機種マスタ!$B$4:$B$363,0)),"未登録")))</f>
        <v/>
      </c>
      <c r="F154" s="30">
        <f>IF($C154="","",IF($B154="YM",IFERROR(INDEX(機種マスタ!$K$4:$K$203,MATCH($C154,機種マスタ!$J$4:$J$203,0)),"-"),IFERROR(INDEX(機種マスタ!$C$4:$C$363,MATCH($C154,機種マスタ!$B$4:$B$363,0)),"-")))</f>
        <v/>
      </c>
      <c r="G154" s="30">
        <f>IF($C154="","",IF($B154="YM",IFERROR(N(INDEX(機種マスタ!$L$4:$L$203,MATCH($C154,機種マスタ!$J$4:$J$203,0))),0),IFERROR(N(INDEX(機種マスタ!$D$4:$D$363,MATCH($C154,機種マスタ!$B$4:$B$363,0))),0)))</f>
        <v/>
      </c>
      <c r="H154" s="30">
        <f>IF($C154="","",IF($D154="",1,$D154))</f>
        <v/>
      </c>
      <c r="I154" s="30">
        <f>IF($C154="","",IF(G154&gt;0,(G154+IFERROR(VLOOKUP(F154,機種マスタ!$Q$4:$R$6,2,FALSE),0))*H154,0))</f>
        <v/>
      </c>
    </row>
    <row r="155">
      <c r="A155" s="56" t="n"/>
      <c r="B155" s="41" t="n"/>
      <c r="C155" s="40" t="n"/>
      <c r="D155" s="41" t="n"/>
      <c r="E155" s="30">
        <f>IF($C155="","",IF($B155="YM",IFERROR(INDEX(機種マスタ!$I$4:$I$203,MATCH($C155,機種マスタ!$J$4:$J$203,0)),"未登録"),IFERROR(INDEX(機種マスタ!$A$4:$A$363,MATCH($C155,機種マスタ!$B$4:$B$363,0)),"未登録")))</f>
        <v/>
      </c>
      <c r="F155" s="30">
        <f>IF($C155="","",IF($B155="YM",IFERROR(INDEX(機種マスタ!$K$4:$K$203,MATCH($C155,機種マスタ!$J$4:$J$203,0)),"-"),IFERROR(INDEX(機種マスタ!$C$4:$C$363,MATCH($C155,機種マスタ!$B$4:$B$363,0)),"-")))</f>
        <v/>
      </c>
      <c r="G155" s="30">
        <f>IF($C155="","",IF($B155="YM",IFERROR(N(INDEX(機種マスタ!$L$4:$L$203,MATCH($C155,機種マスタ!$J$4:$J$203,0))),0),IFERROR(N(INDEX(機種マスタ!$D$4:$D$363,MATCH($C155,機種マスタ!$B$4:$B$363,0))),0)))</f>
        <v/>
      </c>
      <c r="H155" s="30">
        <f>IF($C155="","",IF($D155="",1,$D155))</f>
        <v/>
      </c>
      <c r="I155" s="30">
        <f>IF($C155="","",IF(G155&gt;0,(G155+IFERROR(VLOOKUP(F155,機種マスタ!$Q$4:$R$6,2,FALSE),0))*H155,0))</f>
        <v/>
      </c>
    </row>
    <row r="156">
      <c r="A156" s="56" t="n"/>
      <c r="B156" s="41" t="n"/>
      <c r="C156" s="40" t="n"/>
      <c r="D156" s="41" t="n"/>
      <c r="E156" s="30">
        <f>IF($C156="","",IF($B156="YM",IFERROR(INDEX(機種マスタ!$I$4:$I$203,MATCH($C156,機種マスタ!$J$4:$J$203,0)),"未登録"),IFERROR(INDEX(機種マスタ!$A$4:$A$363,MATCH($C156,機種マスタ!$B$4:$B$363,0)),"未登録")))</f>
        <v/>
      </c>
      <c r="F156" s="30">
        <f>IF($C156="","",IF($B156="YM",IFERROR(INDEX(機種マスタ!$K$4:$K$203,MATCH($C156,機種マスタ!$J$4:$J$203,0)),"-"),IFERROR(INDEX(機種マスタ!$C$4:$C$363,MATCH($C156,機種マスタ!$B$4:$B$363,0)),"-")))</f>
        <v/>
      </c>
      <c r="G156" s="30">
        <f>IF($C156="","",IF($B156="YM",IFERROR(N(INDEX(機種マスタ!$L$4:$L$203,MATCH($C156,機種マスタ!$J$4:$J$203,0))),0),IFERROR(N(INDEX(機種マスタ!$D$4:$D$363,MATCH($C156,機種マスタ!$B$4:$B$363,0))),0)))</f>
        <v/>
      </c>
      <c r="H156" s="30">
        <f>IF($C156="","",IF($D156="",1,$D156))</f>
        <v/>
      </c>
      <c r="I156" s="30">
        <f>IF($C156="","",IF(G156&gt;0,(G156+IFERROR(VLOOKUP(F156,機種マスタ!$Q$4:$R$6,2,FALSE),0))*H156,0))</f>
        <v/>
      </c>
    </row>
    <row r="157">
      <c r="A157" s="56" t="n"/>
      <c r="B157" s="41" t="n"/>
      <c r="C157" s="40" t="n"/>
      <c r="D157" s="41" t="n"/>
      <c r="E157" s="30">
        <f>IF($C157="","",IF($B157="YM",IFERROR(INDEX(機種マスタ!$I$4:$I$203,MATCH($C157,機種マスタ!$J$4:$J$203,0)),"未登録"),IFERROR(INDEX(機種マスタ!$A$4:$A$363,MATCH($C157,機種マスタ!$B$4:$B$363,0)),"未登録")))</f>
        <v/>
      </c>
      <c r="F157" s="30">
        <f>IF($C157="","",IF($B157="YM",IFERROR(INDEX(機種マスタ!$K$4:$K$203,MATCH($C157,機種マスタ!$J$4:$J$203,0)),"-"),IFERROR(INDEX(機種マスタ!$C$4:$C$363,MATCH($C157,機種マスタ!$B$4:$B$363,0)),"-")))</f>
        <v/>
      </c>
      <c r="G157" s="30">
        <f>IF($C157="","",IF($B157="YM",IFERROR(N(INDEX(機種マスタ!$L$4:$L$203,MATCH($C157,機種マスタ!$J$4:$J$203,0))),0),IFERROR(N(INDEX(機種マスタ!$D$4:$D$363,MATCH($C157,機種マスタ!$B$4:$B$363,0))),0)))</f>
        <v/>
      </c>
      <c r="H157" s="30">
        <f>IF($C157="","",IF($D157="",1,$D157))</f>
        <v/>
      </c>
      <c r="I157" s="30">
        <f>IF($C157="","",IF(G157&gt;0,(G157+IFERROR(VLOOKUP(F157,機種マスタ!$Q$4:$R$6,2,FALSE),0))*H157,0))</f>
        <v/>
      </c>
    </row>
    <row r="158">
      <c r="A158" s="56" t="n"/>
      <c r="B158" s="41" t="n"/>
      <c r="C158" s="40" t="n"/>
      <c r="D158" s="41" t="n"/>
      <c r="E158" s="30">
        <f>IF($C158="","",IF($B158="YM",IFERROR(INDEX(機種マスタ!$I$4:$I$203,MATCH($C158,機種マスタ!$J$4:$J$203,0)),"未登録"),IFERROR(INDEX(機種マスタ!$A$4:$A$363,MATCH($C158,機種マスタ!$B$4:$B$363,0)),"未登録")))</f>
        <v/>
      </c>
      <c r="F158" s="30">
        <f>IF($C158="","",IF($B158="YM",IFERROR(INDEX(機種マスタ!$K$4:$K$203,MATCH($C158,機種マスタ!$J$4:$J$203,0)),"-"),IFERROR(INDEX(機種マスタ!$C$4:$C$363,MATCH($C158,機種マスタ!$B$4:$B$363,0)),"-")))</f>
        <v/>
      </c>
      <c r="G158" s="30">
        <f>IF($C158="","",IF($B158="YM",IFERROR(N(INDEX(機種マスタ!$L$4:$L$203,MATCH($C158,機種マスタ!$J$4:$J$203,0))),0),IFERROR(N(INDEX(機種マスタ!$D$4:$D$363,MATCH($C158,機種マスタ!$B$4:$B$363,0))),0)))</f>
        <v/>
      </c>
      <c r="H158" s="30">
        <f>IF($C158="","",IF($D158="",1,$D158))</f>
        <v/>
      </c>
      <c r="I158" s="30">
        <f>IF($C158="","",IF(G158&gt;0,(G158+IFERROR(VLOOKUP(F158,機種マスタ!$Q$4:$R$6,2,FALSE),0))*H158,0))</f>
        <v/>
      </c>
    </row>
    <row r="159">
      <c r="A159" s="56" t="n"/>
      <c r="B159" s="41" t="n"/>
      <c r="C159" s="40" t="n"/>
      <c r="D159" s="41" t="n"/>
      <c r="E159" s="30">
        <f>IF($C159="","",IF($B159="YM",IFERROR(INDEX(機種マスタ!$I$4:$I$203,MATCH($C159,機種マスタ!$J$4:$J$203,0)),"未登録"),IFERROR(INDEX(機種マスタ!$A$4:$A$363,MATCH($C159,機種マスタ!$B$4:$B$363,0)),"未登録")))</f>
        <v/>
      </c>
      <c r="F159" s="30">
        <f>IF($C159="","",IF($B159="YM",IFERROR(INDEX(機種マスタ!$K$4:$K$203,MATCH($C159,機種マスタ!$J$4:$J$203,0)),"-"),IFERROR(INDEX(機種マスタ!$C$4:$C$363,MATCH($C159,機種マスタ!$B$4:$B$363,0)),"-")))</f>
        <v/>
      </c>
      <c r="G159" s="30">
        <f>IF($C159="","",IF($B159="YM",IFERROR(N(INDEX(機種マスタ!$L$4:$L$203,MATCH($C159,機種マスタ!$J$4:$J$203,0))),0),IFERROR(N(INDEX(機種マスタ!$D$4:$D$363,MATCH($C159,機種マスタ!$B$4:$B$363,0))),0)))</f>
        <v/>
      </c>
      <c r="H159" s="30">
        <f>IF($C159="","",IF($D159="",1,$D159))</f>
        <v/>
      </c>
      <c r="I159" s="30">
        <f>IF($C159="","",IF(G159&gt;0,(G159+IFERROR(VLOOKUP(F159,機種マスタ!$Q$4:$R$6,2,FALSE),0))*H159,0))</f>
        <v/>
      </c>
    </row>
    <row r="160">
      <c r="A160" s="56" t="n"/>
      <c r="B160" s="41" t="n"/>
      <c r="C160" s="40" t="n"/>
      <c r="D160" s="41" t="n"/>
      <c r="E160" s="30">
        <f>IF($C160="","",IF($B160="YM",IFERROR(INDEX(機種マスタ!$I$4:$I$203,MATCH($C160,機種マスタ!$J$4:$J$203,0)),"未登録"),IFERROR(INDEX(機種マスタ!$A$4:$A$363,MATCH($C160,機種マスタ!$B$4:$B$363,0)),"未登録")))</f>
        <v/>
      </c>
      <c r="F160" s="30">
        <f>IF($C160="","",IF($B160="YM",IFERROR(INDEX(機種マスタ!$K$4:$K$203,MATCH($C160,機種マスタ!$J$4:$J$203,0)),"-"),IFERROR(INDEX(機種マスタ!$C$4:$C$363,MATCH($C160,機種マスタ!$B$4:$B$363,0)),"-")))</f>
        <v/>
      </c>
      <c r="G160" s="30">
        <f>IF($C160="","",IF($B160="YM",IFERROR(N(INDEX(機種マスタ!$L$4:$L$203,MATCH($C160,機種マスタ!$J$4:$J$203,0))),0),IFERROR(N(INDEX(機種マスタ!$D$4:$D$363,MATCH($C160,機種マスタ!$B$4:$B$363,0))),0)))</f>
        <v/>
      </c>
      <c r="H160" s="30">
        <f>IF($C160="","",IF($D160="",1,$D160))</f>
        <v/>
      </c>
      <c r="I160" s="30">
        <f>IF($C160="","",IF(G160&gt;0,(G160+IFERROR(VLOOKUP(F160,機種マスタ!$Q$4:$R$6,2,FALSE),0))*H160,0))</f>
        <v/>
      </c>
    </row>
    <row r="161">
      <c r="A161" s="56" t="n"/>
      <c r="B161" s="41" t="n"/>
      <c r="C161" s="40" t="n"/>
      <c r="D161" s="41" t="n"/>
      <c r="E161" s="30">
        <f>IF($C161="","",IF($B161="YM",IFERROR(INDEX(機種マスタ!$I$4:$I$203,MATCH($C161,機種マスタ!$J$4:$J$203,0)),"未登録"),IFERROR(INDEX(機種マスタ!$A$4:$A$363,MATCH($C161,機種マスタ!$B$4:$B$363,0)),"未登録")))</f>
        <v/>
      </c>
      <c r="F161" s="30">
        <f>IF($C161="","",IF($B161="YM",IFERROR(INDEX(機種マスタ!$K$4:$K$203,MATCH($C161,機種マスタ!$J$4:$J$203,0)),"-"),IFERROR(INDEX(機種マスタ!$C$4:$C$363,MATCH($C161,機種マスタ!$B$4:$B$363,0)),"-")))</f>
        <v/>
      </c>
      <c r="G161" s="30">
        <f>IF($C161="","",IF($B161="YM",IFERROR(N(INDEX(機種マスタ!$L$4:$L$203,MATCH($C161,機種マスタ!$J$4:$J$203,0))),0),IFERROR(N(INDEX(機種マスタ!$D$4:$D$363,MATCH($C161,機種マスタ!$B$4:$B$363,0))),0)))</f>
        <v/>
      </c>
      <c r="H161" s="30">
        <f>IF($C161="","",IF($D161="",1,$D161))</f>
        <v/>
      </c>
      <c r="I161" s="30">
        <f>IF($C161="","",IF(G161&gt;0,(G161+IFERROR(VLOOKUP(F161,機種マスタ!$Q$4:$R$6,2,FALSE),0))*H161,0))</f>
        <v/>
      </c>
    </row>
    <row r="162">
      <c r="A162" s="56" t="n"/>
      <c r="B162" s="41" t="n"/>
      <c r="C162" s="40" t="n"/>
      <c r="D162" s="41" t="n"/>
      <c r="E162" s="30">
        <f>IF($C162="","",IF($B162="YM",IFERROR(INDEX(機種マスタ!$I$4:$I$203,MATCH($C162,機種マスタ!$J$4:$J$203,0)),"未登録"),IFERROR(INDEX(機種マスタ!$A$4:$A$363,MATCH($C162,機種マスタ!$B$4:$B$363,0)),"未登録")))</f>
        <v/>
      </c>
      <c r="F162" s="30">
        <f>IF($C162="","",IF($B162="YM",IFERROR(INDEX(機種マスタ!$K$4:$K$203,MATCH($C162,機種マスタ!$J$4:$J$203,0)),"-"),IFERROR(INDEX(機種マスタ!$C$4:$C$363,MATCH($C162,機種マスタ!$B$4:$B$363,0)),"-")))</f>
        <v/>
      </c>
      <c r="G162" s="30">
        <f>IF($C162="","",IF($B162="YM",IFERROR(N(INDEX(機種マスタ!$L$4:$L$203,MATCH($C162,機種マスタ!$J$4:$J$203,0))),0),IFERROR(N(INDEX(機種マスタ!$D$4:$D$363,MATCH($C162,機種マスタ!$B$4:$B$363,0))),0)))</f>
        <v/>
      </c>
      <c r="H162" s="30">
        <f>IF($C162="","",IF($D162="",1,$D162))</f>
        <v/>
      </c>
      <c r="I162" s="30">
        <f>IF($C162="","",IF(G162&gt;0,(G162+IFERROR(VLOOKUP(F162,機種マスタ!$Q$4:$R$6,2,FALSE),0))*H162,0))</f>
        <v/>
      </c>
    </row>
    <row r="163">
      <c r="A163" s="56" t="n"/>
      <c r="B163" s="41" t="n"/>
      <c r="C163" s="40" t="n"/>
      <c r="D163" s="41" t="n"/>
      <c r="E163" s="30">
        <f>IF($C163="","",IF($B163="YM",IFERROR(INDEX(機種マスタ!$I$4:$I$203,MATCH($C163,機種マスタ!$J$4:$J$203,0)),"未登録"),IFERROR(INDEX(機種マスタ!$A$4:$A$363,MATCH($C163,機種マスタ!$B$4:$B$363,0)),"未登録")))</f>
        <v/>
      </c>
      <c r="F163" s="30">
        <f>IF($C163="","",IF($B163="YM",IFERROR(INDEX(機種マスタ!$K$4:$K$203,MATCH($C163,機種マスタ!$J$4:$J$203,0)),"-"),IFERROR(INDEX(機種マスタ!$C$4:$C$363,MATCH($C163,機種マスタ!$B$4:$B$363,0)),"-")))</f>
        <v/>
      </c>
      <c r="G163" s="30">
        <f>IF($C163="","",IF($B163="YM",IFERROR(N(INDEX(機種マスタ!$L$4:$L$203,MATCH($C163,機種マスタ!$J$4:$J$203,0))),0),IFERROR(N(INDEX(機種マスタ!$D$4:$D$363,MATCH($C163,機種マスタ!$B$4:$B$363,0))),0)))</f>
        <v/>
      </c>
      <c r="H163" s="30">
        <f>IF($C163="","",IF($D163="",1,$D163))</f>
        <v/>
      </c>
      <c r="I163" s="30">
        <f>IF($C163="","",IF(G163&gt;0,(G163+IFERROR(VLOOKUP(F163,機種マスタ!$Q$4:$R$6,2,FALSE),0))*H163,0))</f>
        <v/>
      </c>
    </row>
    <row r="164">
      <c r="A164" s="56" t="n"/>
      <c r="B164" s="41" t="n"/>
      <c r="C164" s="40" t="n"/>
      <c r="D164" s="41" t="n"/>
      <c r="E164" s="30">
        <f>IF($C164="","",IF($B164="YM",IFERROR(INDEX(機種マスタ!$I$4:$I$203,MATCH($C164,機種マスタ!$J$4:$J$203,0)),"未登録"),IFERROR(INDEX(機種マスタ!$A$4:$A$363,MATCH($C164,機種マスタ!$B$4:$B$363,0)),"未登録")))</f>
        <v/>
      </c>
      <c r="F164" s="30">
        <f>IF($C164="","",IF($B164="YM",IFERROR(INDEX(機種マスタ!$K$4:$K$203,MATCH($C164,機種マスタ!$J$4:$J$203,0)),"-"),IFERROR(INDEX(機種マスタ!$C$4:$C$363,MATCH($C164,機種マスタ!$B$4:$B$363,0)),"-")))</f>
        <v/>
      </c>
      <c r="G164" s="30">
        <f>IF($C164="","",IF($B164="YM",IFERROR(N(INDEX(機種マスタ!$L$4:$L$203,MATCH($C164,機種マスタ!$J$4:$J$203,0))),0),IFERROR(N(INDEX(機種マスタ!$D$4:$D$363,MATCH($C164,機種マスタ!$B$4:$B$363,0))),0)))</f>
        <v/>
      </c>
      <c r="H164" s="30">
        <f>IF($C164="","",IF($D164="",1,$D164))</f>
        <v/>
      </c>
      <c r="I164" s="30">
        <f>IF($C164="","",IF(G164&gt;0,(G164+IFERROR(VLOOKUP(F164,機種マスタ!$Q$4:$R$6,2,FALSE),0))*H164,0))</f>
        <v/>
      </c>
    </row>
    <row r="165">
      <c r="A165" s="56" t="n"/>
      <c r="B165" s="41" t="n"/>
      <c r="C165" s="40" t="n"/>
      <c r="D165" s="41" t="n"/>
      <c r="E165" s="30">
        <f>IF($C165="","",IF($B165="YM",IFERROR(INDEX(機種マスタ!$I$4:$I$203,MATCH($C165,機種マスタ!$J$4:$J$203,0)),"未登録"),IFERROR(INDEX(機種マスタ!$A$4:$A$363,MATCH($C165,機種マスタ!$B$4:$B$363,0)),"未登録")))</f>
        <v/>
      </c>
      <c r="F165" s="30">
        <f>IF($C165="","",IF($B165="YM",IFERROR(INDEX(機種マスタ!$K$4:$K$203,MATCH($C165,機種マスタ!$J$4:$J$203,0)),"-"),IFERROR(INDEX(機種マスタ!$C$4:$C$363,MATCH($C165,機種マスタ!$B$4:$B$363,0)),"-")))</f>
        <v/>
      </c>
      <c r="G165" s="30">
        <f>IF($C165="","",IF($B165="YM",IFERROR(N(INDEX(機種マスタ!$L$4:$L$203,MATCH($C165,機種マスタ!$J$4:$J$203,0))),0),IFERROR(N(INDEX(機種マスタ!$D$4:$D$363,MATCH($C165,機種マスタ!$B$4:$B$363,0))),0)))</f>
        <v/>
      </c>
      <c r="H165" s="30">
        <f>IF($C165="","",IF($D165="",1,$D165))</f>
        <v/>
      </c>
      <c r="I165" s="30">
        <f>IF($C165="","",IF(G165&gt;0,(G165+IFERROR(VLOOKUP(F165,機種マスタ!$Q$4:$R$6,2,FALSE),0))*H165,0))</f>
        <v/>
      </c>
    </row>
    <row r="166">
      <c r="A166" s="56" t="n"/>
      <c r="B166" s="41" t="n"/>
      <c r="C166" s="40" t="n"/>
      <c r="D166" s="41" t="n"/>
      <c r="E166" s="30">
        <f>IF($C166="","",IF($B166="YM",IFERROR(INDEX(機種マスタ!$I$4:$I$203,MATCH($C166,機種マスタ!$J$4:$J$203,0)),"未登録"),IFERROR(INDEX(機種マスタ!$A$4:$A$363,MATCH($C166,機種マスタ!$B$4:$B$363,0)),"未登録")))</f>
        <v/>
      </c>
      <c r="F166" s="30">
        <f>IF($C166="","",IF($B166="YM",IFERROR(INDEX(機種マスタ!$K$4:$K$203,MATCH($C166,機種マスタ!$J$4:$J$203,0)),"-"),IFERROR(INDEX(機種マスタ!$C$4:$C$363,MATCH($C166,機種マスタ!$B$4:$B$363,0)),"-")))</f>
        <v/>
      </c>
      <c r="G166" s="30">
        <f>IF($C166="","",IF($B166="YM",IFERROR(N(INDEX(機種マスタ!$L$4:$L$203,MATCH($C166,機種マスタ!$J$4:$J$203,0))),0),IFERROR(N(INDEX(機種マスタ!$D$4:$D$363,MATCH($C166,機種マスタ!$B$4:$B$363,0))),0)))</f>
        <v/>
      </c>
      <c r="H166" s="30">
        <f>IF($C166="","",IF($D166="",1,$D166))</f>
        <v/>
      </c>
      <c r="I166" s="30">
        <f>IF($C166="","",IF(G166&gt;0,(G166+IFERROR(VLOOKUP(F166,機種マスタ!$Q$4:$R$6,2,FALSE),0))*H166,0))</f>
        <v/>
      </c>
    </row>
    <row r="167">
      <c r="A167" s="56" t="n"/>
      <c r="B167" s="41" t="n"/>
      <c r="C167" s="40" t="n"/>
      <c r="D167" s="41" t="n"/>
      <c r="E167" s="30">
        <f>IF($C167="","",IF($B167="YM",IFERROR(INDEX(機種マスタ!$I$4:$I$203,MATCH($C167,機種マスタ!$J$4:$J$203,0)),"未登録"),IFERROR(INDEX(機種マスタ!$A$4:$A$363,MATCH($C167,機種マスタ!$B$4:$B$363,0)),"未登録")))</f>
        <v/>
      </c>
      <c r="F167" s="30">
        <f>IF($C167="","",IF($B167="YM",IFERROR(INDEX(機種マスタ!$K$4:$K$203,MATCH($C167,機種マスタ!$J$4:$J$203,0)),"-"),IFERROR(INDEX(機種マスタ!$C$4:$C$363,MATCH($C167,機種マスタ!$B$4:$B$363,0)),"-")))</f>
        <v/>
      </c>
      <c r="G167" s="30">
        <f>IF($C167="","",IF($B167="YM",IFERROR(N(INDEX(機種マスタ!$L$4:$L$203,MATCH($C167,機種マスタ!$J$4:$J$203,0))),0),IFERROR(N(INDEX(機種マスタ!$D$4:$D$363,MATCH($C167,機種マスタ!$B$4:$B$363,0))),0)))</f>
        <v/>
      </c>
      <c r="H167" s="30">
        <f>IF($C167="","",IF($D167="",1,$D167))</f>
        <v/>
      </c>
      <c r="I167" s="30">
        <f>IF($C167="","",IF(G167&gt;0,(G167+IFERROR(VLOOKUP(F167,機種マスタ!$Q$4:$R$6,2,FALSE),0))*H167,0))</f>
        <v/>
      </c>
    </row>
    <row r="168">
      <c r="A168" s="56" t="n"/>
      <c r="B168" s="41" t="n"/>
      <c r="C168" s="40" t="n"/>
      <c r="D168" s="41" t="n"/>
      <c r="E168" s="30">
        <f>IF($C168="","",IF($B168="YM",IFERROR(INDEX(機種マスタ!$I$4:$I$203,MATCH($C168,機種マスタ!$J$4:$J$203,0)),"未登録"),IFERROR(INDEX(機種マスタ!$A$4:$A$363,MATCH($C168,機種マスタ!$B$4:$B$363,0)),"未登録")))</f>
        <v/>
      </c>
      <c r="F168" s="30">
        <f>IF($C168="","",IF($B168="YM",IFERROR(INDEX(機種マスタ!$K$4:$K$203,MATCH($C168,機種マスタ!$J$4:$J$203,0)),"-"),IFERROR(INDEX(機種マスタ!$C$4:$C$363,MATCH($C168,機種マスタ!$B$4:$B$363,0)),"-")))</f>
        <v/>
      </c>
      <c r="G168" s="30">
        <f>IF($C168="","",IF($B168="YM",IFERROR(N(INDEX(機種マスタ!$L$4:$L$203,MATCH($C168,機種マスタ!$J$4:$J$203,0))),0),IFERROR(N(INDEX(機種マスタ!$D$4:$D$363,MATCH($C168,機種マスタ!$B$4:$B$363,0))),0)))</f>
        <v/>
      </c>
      <c r="H168" s="30">
        <f>IF($C168="","",IF($D168="",1,$D168))</f>
        <v/>
      </c>
      <c r="I168" s="30">
        <f>IF($C168="","",IF(G168&gt;0,(G168+IFERROR(VLOOKUP(F168,機種マスタ!$Q$4:$R$6,2,FALSE),0))*H168,0))</f>
        <v/>
      </c>
    </row>
    <row r="169">
      <c r="A169" s="56" t="n"/>
      <c r="B169" s="41" t="n"/>
      <c r="C169" s="40" t="n"/>
      <c r="D169" s="41" t="n"/>
      <c r="E169" s="30">
        <f>IF($C169="","",IF($B169="YM",IFERROR(INDEX(機種マスタ!$I$4:$I$203,MATCH($C169,機種マスタ!$J$4:$J$203,0)),"未登録"),IFERROR(INDEX(機種マスタ!$A$4:$A$363,MATCH($C169,機種マスタ!$B$4:$B$363,0)),"未登録")))</f>
        <v/>
      </c>
      <c r="F169" s="30">
        <f>IF($C169="","",IF($B169="YM",IFERROR(INDEX(機種マスタ!$K$4:$K$203,MATCH($C169,機種マスタ!$J$4:$J$203,0)),"-"),IFERROR(INDEX(機種マスタ!$C$4:$C$363,MATCH($C169,機種マスタ!$B$4:$B$363,0)),"-")))</f>
        <v/>
      </c>
      <c r="G169" s="30">
        <f>IF($C169="","",IF($B169="YM",IFERROR(N(INDEX(機種マスタ!$L$4:$L$203,MATCH($C169,機種マスタ!$J$4:$J$203,0))),0),IFERROR(N(INDEX(機種マスタ!$D$4:$D$363,MATCH($C169,機種マスタ!$B$4:$B$363,0))),0)))</f>
        <v/>
      </c>
      <c r="H169" s="30">
        <f>IF($C169="","",IF($D169="",1,$D169))</f>
        <v/>
      </c>
      <c r="I169" s="30">
        <f>IF($C169="","",IF(G169&gt;0,(G169+IFERROR(VLOOKUP(F169,機種マスタ!$Q$4:$R$6,2,FALSE),0))*H169,0))</f>
        <v/>
      </c>
    </row>
    <row r="170">
      <c r="A170" s="56" t="n"/>
      <c r="B170" s="41" t="n"/>
      <c r="C170" s="40" t="n"/>
      <c r="D170" s="41" t="n"/>
      <c r="E170" s="30">
        <f>IF($C170="","",IF($B170="YM",IFERROR(INDEX(機種マスタ!$I$4:$I$203,MATCH($C170,機種マスタ!$J$4:$J$203,0)),"未登録"),IFERROR(INDEX(機種マスタ!$A$4:$A$363,MATCH($C170,機種マスタ!$B$4:$B$363,0)),"未登録")))</f>
        <v/>
      </c>
      <c r="F170" s="30">
        <f>IF($C170="","",IF($B170="YM",IFERROR(INDEX(機種マスタ!$K$4:$K$203,MATCH($C170,機種マスタ!$J$4:$J$203,0)),"-"),IFERROR(INDEX(機種マスタ!$C$4:$C$363,MATCH($C170,機種マスタ!$B$4:$B$363,0)),"-")))</f>
        <v/>
      </c>
      <c r="G170" s="30">
        <f>IF($C170="","",IF($B170="YM",IFERROR(N(INDEX(機種マスタ!$L$4:$L$203,MATCH($C170,機種マスタ!$J$4:$J$203,0))),0),IFERROR(N(INDEX(機種マスタ!$D$4:$D$363,MATCH($C170,機種マスタ!$B$4:$B$363,0))),0)))</f>
        <v/>
      </c>
      <c r="H170" s="30">
        <f>IF($C170="","",IF($D170="",1,$D170))</f>
        <v/>
      </c>
      <c r="I170" s="30">
        <f>IF($C170="","",IF(G170&gt;0,(G170+IFERROR(VLOOKUP(F170,機種マスタ!$Q$4:$R$6,2,FALSE),0))*H170,0))</f>
        <v/>
      </c>
    </row>
    <row r="171">
      <c r="A171" s="56" t="n"/>
      <c r="B171" s="41" t="n"/>
      <c r="C171" s="40" t="n"/>
      <c r="D171" s="41" t="n"/>
      <c r="E171" s="30">
        <f>IF($C171="","",IF($B171="YM",IFERROR(INDEX(機種マスタ!$I$4:$I$203,MATCH($C171,機種マスタ!$J$4:$J$203,0)),"未登録"),IFERROR(INDEX(機種マスタ!$A$4:$A$363,MATCH($C171,機種マスタ!$B$4:$B$363,0)),"未登録")))</f>
        <v/>
      </c>
      <c r="F171" s="30">
        <f>IF($C171="","",IF($B171="YM",IFERROR(INDEX(機種マスタ!$K$4:$K$203,MATCH($C171,機種マスタ!$J$4:$J$203,0)),"-"),IFERROR(INDEX(機種マスタ!$C$4:$C$363,MATCH($C171,機種マスタ!$B$4:$B$363,0)),"-")))</f>
        <v/>
      </c>
      <c r="G171" s="30">
        <f>IF($C171="","",IF($B171="YM",IFERROR(N(INDEX(機種マスタ!$L$4:$L$203,MATCH($C171,機種マスタ!$J$4:$J$203,0))),0),IFERROR(N(INDEX(機種マスタ!$D$4:$D$363,MATCH($C171,機種マスタ!$B$4:$B$363,0))),0)))</f>
        <v/>
      </c>
      <c r="H171" s="30">
        <f>IF($C171="","",IF($D171="",1,$D171))</f>
        <v/>
      </c>
      <c r="I171" s="30">
        <f>IF($C171="","",IF(G171&gt;0,(G171+IFERROR(VLOOKUP(F171,機種マスタ!$Q$4:$R$6,2,FALSE),0))*H171,0))</f>
        <v/>
      </c>
    </row>
    <row r="172">
      <c r="A172" s="56" t="n"/>
      <c r="B172" s="41" t="n"/>
      <c r="C172" s="40" t="n"/>
      <c r="D172" s="41" t="n"/>
      <c r="E172" s="30">
        <f>IF($C172="","",IF($B172="YM",IFERROR(INDEX(機種マスタ!$I$4:$I$203,MATCH($C172,機種マスタ!$J$4:$J$203,0)),"未登録"),IFERROR(INDEX(機種マスタ!$A$4:$A$363,MATCH($C172,機種マスタ!$B$4:$B$363,0)),"未登録")))</f>
        <v/>
      </c>
      <c r="F172" s="30">
        <f>IF($C172="","",IF($B172="YM",IFERROR(INDEX(機種マスタ!$K$4:$K$203,MATCH($C172,機種マスタ!$J$4:$J$203,0)),"-"),IFERROR(INDEX(機種マスタ!$C$4:$C$363,MATCH($C172,機種マスタ!$B$4:$B$363,0)),"-")))</f>
        <v/>
      </c>
      <c r="G172" s="30">
        <f>IF($C172="","",IF($B172="YM",IFERROR(N(INDEX(機種マスタ!$L$4:$L$203,MATCH($C172,機種マスタ!$J$4:$J$203,0))),0),IFERROR(N(INDEX(機種マスタ!$D$4:$D$363,MATCH($C172,機種マスタ!$B$4:$B$363,0))),0)))</f>
        <v/>
      </c>
      <c r="H172" s="30">
        <f>IF($C172="","",IF($D172="",1,$D172))</f>
        <v/>
      </c>
      <c r="I172" s="30">
        <f>IF($C172="","",IF(G172&gt;0,(G172+IFERROR(VLOOKUP(F172,機種マスタ!$Q$4:$R$6,2,FALSE),0))*H172,0))</f>
        <v/>
      </c>
    </row>
    <row r="173">
      <c r="A173" s="56" t="n"/>
      <c r="B173" s="41" t="n"/>
      <c r="C173" s="40" t="n"/>
      <c r="D173" s="41" t="n"/>
      <c r="E173" s="30">
        <f>IF($C173="","",IF($B173="YM",IFERROR(INDEX(機種マスタ!$I$4:$I$203,MATCH($C173,機種マスタ!$J$4:$J$203,0)),"未登録"),IFERROR(INDEX(機種マスタ!$A$4:$A$363,MATCH($C173,機種マスタ!$B$4:$B$363,0)),"未登録")))</f>
        <v/>
      </c>
      <c r="F173" s="30">
        <f>IF($C173="","",IF($B173="YM",IFERROR(INDEX(機種マスタ!$K$4:$K$203,MATCH($C173,機種マスタ!$J$4:$J$203,0)),"-"),IFERROR(INDEX(機種マスタ!$C$4:$C$363,MATCH($C173,機種マスタ!$B$4:$B$363,0)),"-")))</f>
        <v/>
      </c>
      <c r="G173" s="30">
        <f>IF($C173="","",IF($B173="YM",IFERROR(N(INDEX(機種マスタ!$L$4:$L$203,MATCH($C173,機種マスタ!$J$4:$J$203,0))),0),IFERROR(N(INDEX(機種マスタ!$D$4:$D$363,MATCH($C173,機種マスタ!$B$4:$B$363,0))),0)))</f>
        <v/>
      </c>
      <c r="H173" s="30">
        <f>IF($C173="","",IF($D173="",1,$D173))</f>
        <v/>
      </c>
      <c r="I173" s="30">
        <f>IF($C173="","",IF(G173&gt;0,(G173+IFERROR(VLOOKUP(F173,機種マスタ!$Q$4:$R$6,2,FALSE),0))*H173,0))</f>
        <v/>
      </c>
    </row>
    <row r="174">
      <c r="A174" s="56" t="n"/>
      <c r="B174" s="41" t="n"/>
      <c r="C174" s="40" t="n"/>
      <c r="D174" s="41" t="n"/>
      <c r="E174" s="30">
        <f>IF($C174="","",IF($B174="YM",IFERROR(INDEX(機種マスタ!$I$4:$I$203,MATCH($C174,機種マスタ!$J$4:$J$203,0)),"未登録"),IFERROR(INDEX(機種マスタ!$A$4:$A$363,MATCH($C174,機種マスタ!$B$4:$B$363,0)),"未登録")))</f>
        <v/>
      </c>
      <c r="F174" s="30">
        <f>IF($C174="","",IF($B174="YM",IFERROR(INDEX(機種マスタ!$K$4:$K$203,MATCH($C174,機種マスタ!$J$4:$J$203,0)),"-"),IFERROR(INDEX(機種マスタ!$C$4:$C$363,MATCH($C174,機種マスタ!$B$4:$B$363,0)),"-")))</f>
        <v/>
      </c>
      <c r="G174" s="30">
        <f>IF($C174="","",IF($B174="YM",IFERROR(N(INDEX(機種マスタ!$L$4:$L$203,MATCH($C174,機種マスタ!$J$4:$J$203,0))),0),IFERROR(N(INDEX(機種マスタ!$D$4:$D$363,MATCH($C174,機種マスタ!$B$4:$B$363,0))),0)))</f>
        <v/>
      </c>
      <c r="H174" s="30">
        <f>IF($C174="","",IF($D174="",1,$D174))</f>
        <v/>
      </c>
      <c r="I174" s="30">
        <f>IF($C174="","",IF(G174&gt;0,(G174+IFERROR(VLOOKUP(F174,機種マスタ!$Q$4:$R$6,2,FALSE),0))*H174,0))</f>
        <v/>
      </c>
    </row>
    <row r="175">
      <c r="A175" s="56" t="n"/>
      <c r="B175" s="41" t="n"/>
      <c r="C175" s="40" t="n"/>
      <c r="D175" s="41" t="n"/>
      <c r="E175" s="30">
        <f>IF($C175="","",IF($B175="YM",IFERROR(INDEX(機種マスタ!$I$4:$I$203,MATCH($C175,機種マスタ!$J$4:$J$203,0)),"未登録"),IFERROR(INDEX(機種マスタ!$A$4:$A$363,MATCH($C175,機種マスタ!$B$4:$B$363,0)),"未登録")))</f>
        <v/>
      </c>
      <c r="F175" s="30">
        <f>IF($C175="","",IF($B175="YM",IFERROR(INDEX(機種マスタ!$K$4:$K$203,MATCH($C175,機種マスタ!$J$4:$J$203,0)),"-"),IFERROR(INDEX(機種マスタ!$C$4:$C$363,MATCH($C175,機種マスタ!$B$4:$B$363,0)),"-")))</f>
        <v/>
      </c>
      <c r="G175" s="30">
        <f>IF($C175="","",IF($B175="YM",IFERROR(N(INDEX(機種マスタ!$L$4:$L$203,MATCH($C175,機種マスタ!$J$4:$J$203,0))),0),IFERROR(N(INDEX(機種マスタ!$D$4:$D$363,MATCH($C175,機種マスタ!$B$4:$B$363,0))),0)))</f>
        <v/>
      </c>
      <c r="H175" s="30">
        <f>IF($C175="","",IF($D175="",1,$D175))</f>
        <v/>
      </c>
      <c r="I175" s="30">
        <f>IF($C175="","",IF(G175&gt;0,(G175+IFERROR(VLOOKUP(F175,機種マスタ!$Q$4:$R$6,2,FALSE),0))*H175,0))</f>
        <v/>
      </c>
    </row>
    <row r="176">
      <c r="A176" s="56" t="n"/>
      <c r="B176" s="41" t="n"/>
      <c r="C176" s="40" t="n"/>
      <c r="D176" s="41" t="n"/>
      <c r="E176" s="30">
        <f>IF($C176="","",IF($B176="YM",IFERROR(INDEX(機種マスタ!$I$4:$I$203,MATCH($C176,機種マスタ!$J$4:$J$203,0)),"未登録"),IFERROR(INDEX(機種マスタ!$A$4:$A$363,MATCH($C176,機種マスタ!$B$4:$B$363,0)),"未登録")))</f>
        <v/>
      </c>
      <c r="F176" s="30">
        <f>IF($C176="","",IF($B176="YM",IFERROR(INDEX(機種マスタ!$K$4:$K$203,MATCH($C176,機種マスタ!$J$4:$J$203,0)),"-"),IFERROR(INDEX(機種マスタ!$C$4:$C$363,MATCH($C176,機種マスタ!$B$4:$B$363,0)),"-")))</f>
        <v/>
      </c>
      <c r="G176" s="30">
        <f>IF($C176="","",IF($B176="YM",IFERROR(N(INDEX(機種マスタ!$L$4:$L$203,MATCH($C176,機種マスタ!$J$4:$J$203,0))),0),IFERROR(N(INDEX(機種マスタ!$D$4:$D$363,MATCH($C176,機種マスタ!$B$4:$B$363,0))),0)))</f>
        <v/>
      </c>
      <c r="H176" s="30">
        <f>IF($C176="","",IF($D176="",1,$D176))</f>
        <v/>
      </c>
      <c r="I176" s="30">
        <f>IF($C176="","",IF(G176&gt;0,(G176+IFERROR(VLOOKUP(F176,機種マスタ!$Q$4:$R$6,2,FALSE),0))*H176,0))</f>
        <v/>
      </c>
    </row>
    <row r="177">
      <c r="A177" s="56" t="n"/>
      <c r="B177" s="41" t="n"/>
      <c r="C177" s="40" t="n"/>
      <c r="D177" s="41" t="n"/>
      <c r="E177" s="30">
        <f>IF($C177="","",IF($B177="YM",IFERROR(INDEX(機種マスタ!$I$4:$I$203,MATCH($C177,機種マスタ!$J$4:$J$203,0)),"未登録"),IFERROR(INDEX(機種マスタ!$A$4:$A$363,MATCH($C177,機種マスタ!$B$4:$B$363,0)),"未登録")))</f>
        <v/>
      </c>
      <c r="F177" s="30">
        <f>IF($C177="","",IF($B177="YM",IFERROR(INDEX(機種マスタ!$K$4:$K$203,MATCH($C177,機種マスタ!$J$4:$J$203,0)),"-"),IFERROR(INDEX(機種マスタ!$C$4:$C$363,MATCH($C177,機種マスタ!$B$4:$B$363,0)),"-")))</f>
        <v/>
      </c>
      <c r="G177" s="30">
        <f>IF($C177="","",IF($B177="YM",IFERROR(N(INDEX(機種マスタ!$L$4:$L$203,MATCH($C177,機種マスタ!$J$4:$J$203,0))),0),IFERROR(N(INDEX(機種マスタ!$D$4:$D$363,MATCH($C177,機種マスタ!$B$4:$B$363,0))),0)))</f>
        <v/>
      </c>
      <c r="H177" s="30">
        <f>IF($C177="","",IF($D177="",1,$D177))</f>
        <v/>
      </c>
      <c r="I177" s="30">
        <f>IF($C177="","",IF(G177&gt;0,(G177+IFERROR(VLOOKUP(F177,機種マスタ!$Q$4:$R$6,2,FALSE),0))*H177,0))</f>
        <v/>
      </c>
    </row>
    <row r="178">
      <c r="A178" s="56" t="n"/>
      <c r="B178" s="41" t="n"/>
      <c r="C178" s="40" t="n"/>
      <c r="D178" s="41" t="n"/>
      <c r="E178" s="30">
        <f>IF($C178="","",IF($B178="YM",IFERROR(INDEX(機種マスタ!$I$4:$I$203,MATCH($C178,機種マスタ!$J$4:$J$203,0)),"未登録"),IFERROR(INDEX(機種マスタ!$A$4:$A$363,MATCH($C178,機種マスタ!$B$4:$B$363,0)),"未登録")))</f>
        <v/>
      </c>
      <c r="F178" s="30">
        <f>IF($C178="","",IF($B178="YM",IFERROR(INDEX(機種マスタ!$K$4:$K$203,MATCH($C178,機種マスタ!$J$4:$J$203,0)),"-"),IFERROR(INDEX(機種マスタ!$C$4:$C$363,MATCH($C178,機種マスタ!$B$4:$B$363,0)),"-")))</f>
        <v/>
      </c>
      <c r="G178" s="30">
        <f>IF($C178="","",IF($B178="YM",IFERROR(N(INDEX(機種マスタ!$L$4:$L$203,MATCH($C178,機種マスタ!$J$4:$J$203,0))),0),IFERROR(N(INDEX(機種マスタ!$D$4:$D$363,MATCH($C178,機種マスタ!$B$4:$B$363,0))),0)))</f>
        <v/>
      </c>
      <c r="H178" s="30">
        <f>IF($C178="","",IF($D178="",1,$D178))</f>
        <v/>
      </c>
      <c r="I178" s="30">
        <f>IF($C178="","",IF(G178&gt;0,(G178+IFERROR(VLOOKUP(F178,機種マスタ!$Q$4:$R$6,2,FALSE),0))*H178,0))</f>
        <v/>
      </c>
    </row>
    <row r="179">
      <c r="A179" s="56" t="n"/>
      <c r="B179" s="41" t="n"/>
      <c r="C179" s="40" t="n"/>
      <c r="D179" s="41" t="n"/>
      <c r="E179" s="30">
        <f>IF($C179="","",IF($B179="YM",IFERROR(INDEX(機種マスタ!$I$4:$I$203,MATCH($C179,機種マスタ!$J$4:$J$203,0)),"未登録"),IFERROR(INDEX(機種マスタ!$A$4:$A$363,MATCH($C179,機種マスタ!$B$4:$B$363,0)),"未登録")))</f>
        <v/>
      </c>
      <c r="F179" s="30">
        <f>IF($C179="","",IF($B179="YM",IFERROR(INDEX(機種マスタ!$K$4:$K$203,MATCH($C179,機種マスタ!$J$4:$J$203,0)),"-"),IFERROR(INDEX(機種マスタ!$C$4:$C$363,MATCH($C179,機種マスタ!$B$4:$B$363,0)),"-")))</f>
        <v/>
      </c>
      <c r="G179" s="30">
        <f>IF($C179="","",IF($B179="YM",IFERROR(N(INDEX(機種マスタ!$L$4:$L$203,MATCH($C179,機種マスタ!$J$4:$J$203,0))),0),IFERROR(N(INDEX(機種マスタ!$D$4:$D$363,MATCH($C179,機種マスタ!$B$4:$B$363,0))),0)))</f>
        <v/>
      </c>
      <c r="H179" s="30">
        <f>IF($C179="","",IF($D179="",1,$D179))</f>
        <v/>
      </c>
      <c r="I179" s="30">
        <f>IF($C179="","",IF(G179&gt;0,(G179+IFERROR(VLOOKUP(F179,機種マスタ!$Q$4:$R$6,2,FALSE),0))*H179,0))</f>
        <v/>
      </c>
    </row>
    <row r="180">
      <c r="A180" s="56" t="n"/>
      <c r="B180" s="41" t="n"/>
      <c r="C180" s="40" t="n"/>
      <c r="D180" s="41" t="n"/>
      <c r="E180" s="30">
        <f>IF($C180="","",IF($B180="YM",IFERROR(INDEX(機種マスタ!$I$4:$I$203,MATCH($C180,機種マスタ!$J$4:$J$203,0)),"未登録"),IFERROR(INDEX(機種マスタ!$A$4:$A$363,MATCH($C180,機種マスタ!$B$4:$B$363,0)),"未登録")))</f>
        <v/>
      </c>
      <c r="F180" s="30">
        <f>IF($C180="","",IF($B180="YM",IFERROR(INDEX(機種マスタ!$K$4:$K$203,MATCH($C180,機種マスタ!$J$4:$J$203,0)),"-"),IFERROR(INDEX(機種マスタ!$C$4:$C$363,MATCH($C180,機種マスタ!$B$4:$B$363,0)),"-")))</f>
        <v/>
      </c>
      <c r="G180" s="30">
        <f>IF($C180="","",IF($B180="YM",IFERROR(N(INDEX(機種マスタ!$L$4:$L$203,MATCH($C180,機種マスタ!$J$4:$J$203,0))),0),IFERROR(N(INDEX(機種マスタ!$D$4:$D$363,MATCH($C180,機種マスタ!$B$4:$B$363,0))),0)))</f>
        <v/>
      </c>
      <c r="H180" s="30">
        <f>IF($C180="","",IF($D180="",1,$D180))</f>
        <v/>
      </c>
      <c r="I180" s="30">
        <f>IF($C180="","",IF(G180&gt;0,(G180+IFERROR(VLOOKUP(F180,機種マスタ!$Q$4:$R$6,2,FALSE),0))*H180,0))</f>
        <v/>
      </c>
    </row>
    <row r="181">
      <c r="A181" s="56" t="n"/>
      <c r="B181" s="41" t="n"/>
      <c r="C181" s="40" t="n"/>
      <c r="D181" s="41" t="n"/>
      <c r="E181" s="30">
        <f>IF($C181="","",IF($B181="YM",IFERROR(INDEX(機種マスタ!$I$4:$I$203,MATCH($C181,機種マスタ!$J$4:$J$203,0)),"未登録"),IFERROR(INDEX(機種マスタ!$A$4:$A$363,MATCH($C181,機種マスタ!$B$4:$B$363,0)),"未登録")))</f>
        <v/>
      </c>
      <c r="F181" s="30">
        <f>IF($C181="","",IF($B181="YM",IFERROR(INDEX(機種マスタ!$K$4:$K$203,MATCH($C181,機種マスタ!$J$4:$J$203,0)),"-"),IFERROR(INDEX(機種マスタ!$C$4:$C$363,MATCH($C181,機種マスタ!$B$4:$B$363,0)),"-")))</f>
        <v/>
      </c>
      <c r="G181" s="30">
        <f>IF($C181="","",IF($B181="YM",IFERROR(N(INDEX(機種マスタ!$L$4:$L$203,MATCH($C181,機種マスタ!$J$4:$J$203,0))),0),IFERROR(N(INDEX(機種マスタ!$D$4:$D$363,MATCH($C181,機種マスタ!$B$4:$B$363,0))),0)))</f>
        <v/>
      </c>
      <c r="H181" s="30">
        <f>IF($C181="","",IF($D181="",1,$D181))</f>
        <v/>
      </c>
      <c r="I181" s="30">
        <f>IF($C181="","",IF(G181&gt;0,(G181+IFERROR(VLOOKUP(F181,機種マスタ!$Q$4:$R$6,2,FALSE),0))*H181,0))</f>
        <v/>
      </c>
    </row>
    <row r="182">
      <c r="A182" s="56" t="n"/>
      <c r="B182" s="41" t="n"/>
      <c r="C182" s="40" t="n"/>
      <c r="D182" s="41" t="n"/>
      <c r="E182" s="30">
        <f>IF($C182="","",IF($B182="YM",IFERROR(INDEX(機種マスタ!$I$4:$I$203,MATCH($C182,機種マスタ!$J$4:$J$203,0)),"未登録"),IFERROR(INDEX(機種マスタ!$A$4:$A$363,MATCH($C182,機種マスタ!$B$4:$B$363,0)),"未登録")))</f>
        <v/>
      </c>
      <c r="F182" s="30">
        <f>IF($C182="","",IF($B182="YM",IFERROR(INDEX(機種マスタ!$K$4:$K$203,MATCH($C182,機種マスタ!$J$4:$J$203,0)),"-"),IFERROR(INDEX(機種マスタ!$C$4:$C$363,MATCH($C182,機種マスタ!$B$4:$B$363,0)),"-")))</f>
        <v/>
      </c>
      <c r="G182" s="30">
        <f>IF($C182="","",IF($B182="YM",IFERROR(N(INDEX(機種マスタ!$L$4:$L$203,MATCH($C182,機種マスタ!$J$4:$J$203,0))),0),IFERROR(N(INDEX(機種マスタ!$D$4:$D$363,MATCH($C182,機種マスタ!$B$4:$B$363,0))),0)))</f>
        <v/>
      </c>
      <c r="H182" s="30">
        <f>IF($C182="","",IF($D182="",1,$D182))</f>
        <v/>
      </c>
      <c r="I182" s="30">
        <f>IF($C182="","",IF(G182&gt;0,(G182+IFERROR(VLOOKUP(F182,機種マスタ!$Q$4:$R$6,2,FALSE),0))*H182,0))</f>
        <v/>
      </c>
    </row>
    <row r="183">
      <c r="A183" s="56" t="n"/>
      <c r="B183" s="41" t="n"/>
      <c r="C183" s="40" t="n"/>
      <c r="D183" s="41" t="n"/>
      <c r="E183" s="30">
        <f>IF($C183="","",IF($B183="YM",IFERROR(INDEX(機種マスタ!$I$4:$I$203,MATCH($C183,機種マスタ!$J$4:$J$203,0)),"未登録"),IFERROR(INDEX(機種マスタ!$A$4:$A$363,MATCH($C183,機種マスタ!$B$4:$B$363,0)),"未登録")))</f>
        <v/>
      </c>
      <c r="F183" s="30">
        <f>IF($C183="","",IF($B183="YM",IFERROR(INDEX(機種マスタ!$K$4:$K$203,MATCH($C183,機種マスタ!$J$4:$J$203,0)),"-"),IFERROR(INDEX(機種マスタ!$C$4:$C$363,MATCH($C183,機種マスタ!$B$4:$B$363,0)),"-")))</f>
        <v/>
      </c>
      <c r="G183" s="30">
        <f>IF($C183="","",IF($B183="YM",IFERROR(N(INDEX(機種マスタ!$L$4:$L$203,MATCH($C183,機種マスタ!$J$4:$J$203,0))),0),IFERROR(N(INDEX(機種マスタ!$D$4:$D$363,MATCH($C183,機種マスタ!$B$4:$B$363,0))),0)))</f>
        <v/>
      </c>
      <c r="H183" s="30">
        <f>IF($C183="","",IF($D183="",1,$D183))</f>
        <v/>
      </c>
      <c r="I183" s="30">
        <f>IF($C183="","",IF(G183&gt;0,(G183+IFERROR(VLOOKUP(F183,機種マスタ!$Q$4:$R$6,2,FALSE),0))*H183,0))</f>
        <v/>
      </c>
    </row>
    <row r="184">
      <c r="A184" s="56" t="n"/>
      <c r="B184" s="41" t="n"/>
      <c r="C184" s="40" t="n"/>
      <c r="D184" s="41" t="n"/>
      <c r="E184" s="30">
        <f>IF($C184="","",IF($B184="YM",IFERROR(INDEX(機種マスタ!$I$4:$I$203,MATCH($C184,機種マスタ!$J$4:$J$203,0)),"未登録"),IFERROR(INDEX(機種マスタ!$A$4:$A$363,MATCH($C184,機種マスタ!$B$4:$B$363,0)),"未登録")))</f>
        <v/>
      </c>
      <c r="F184" s="30">
        <f>IF($C184="","",IF($B184="YM",IFERROR(INDEX(機種マスタ!$K$4:$K$203,MATCH($C184,機種マスタ!$J$4:$J$203,0)),"-"),IFERROR(INDEX(機種マスタ!$C$4:$C$363,MATCH($C184,機種マスタ!$B$4:$B$363,0)),"-")))</f>
        <v/>
      </c>
      <c r="G184" s="30">
        <f>IF($C184="","",IF($B184="YM",IFERROR(N(INDEX(機種マスタ!$L$4:$L$203,MATCH($C184,機種マスタ!$J$4:$J$203,0))),0),IFERROR(N(INDEX(機種マスタ!$D$4:$D$363,MATCH($C184,機種マスタ!$B$4:$B$363,0))),0)))</f>
        <v/>
      </c>
      <c r="H184" s="30">
        <f>IF($C184="","",IF($D184="",1,$D184))</f>
        <v/>
      </c>
      <c r="I184" s="30">
        <f>IF($C184="","",IF(G184&gt;0,(G184+IFERROR(VLOOKUP(F184,機種マスタ!$Q$4:$R$6,2,FALSE),0))*H184,0))</f>
        <v/>
      </c>
    </row>
    <row r="185">
      <c r="A185" s="56" t="n"/>
      <c r="B185" s="41" t="n"/>
      <c r="C185" s="40" t="n"/>
      <c r="D185" s="41" t="n"/>
      <c r="E185" s="30">
        <f>IF($C185="","",IF($B185="YM",IFERROR(INDEX(機種マスタ!$I$4:$I$203,MATCH($C185,機種マスタ!$J$4:$J$203,0)),"未登録"),IFERROR(INDEX(機種マスタ!$A$4:$A$363,MATCH($C185,機種マスタ!$B$4:$B$363,0)),"未登録")))</f>
        <v/>
      </c>
      <c r="F185" s="30">
        <f>IF($C185="","",IF($B185="YM",IFERROR(INDEX(機種マスタ!$K$4:$K$203,MATCH($C185,機種マスタ!$J$4:$J$203,0)),"-"),IFERROR(INDEX(機種マスタ!$C$4:$C$363,MATCH($C185,機種マスタ!$B$4:$B$363,0)),"-")))</f>
        <v/>
      </c>
      <c r="G185" s="30">
        <f>IF($C185="","",IF($B185="YM",IFERROR(N(INDEX(機種マスタ!$L$4:$L$203,MATCH($C185,機種マスタ!$J$4:$J$203,0))),0),IFERROR(N(INDEX(機種マスタ!$D$4:$D$363,MATCH($C185,機種マスタ!$B$4:$B$363,0))),0)))</f>
        <v/>
      </c>
      <c r="H185" s="30">
        <f>IF($C185="","",IF($D185="",1,$D185))</f>
        <v/>
      </c>
      <c r="I185" s="30">
        <f>IF($C185="","",IF(G185&gt;0,(G185+IFERROR(VLOOKUP(F185,機種マスタ!$Q$4:$R$6,2,FALSE),0))*H185,0))</f>
        <v/>
      </c>
    </row>
    <row r="186">
      <c r="A186" s="56" t="n"/>
      <c r="B186" s="41" t="n"/>
      <c r="C186" s="40" t="n"/>
      <c r="D186" s="41" t="n"/>
      <c r="E186" s="30">
        <f>IF($C186="","",IF($B186="YM",IFERROR(INDEX(機種マスタ!$I$4:$I$203,MATCH($C186,機種マスタ!$J$4:$J$203,0)),"未登録"),IFERROR(INDEX(機種マスタ!$A$4:$A$363,MATCH($C186,機種マスタ!$B$4:$B$363,0)),"未登録")))</f>
        <v/>
      </c>
      <c r="F186" s="30">
        <f>IF($C186="","",IF($B186="YM",IFERROR(INDEX(機種マスタ!$K$4:$K$203,MATCH($C186,機種マスタ!$J$4:$J$203,0)),"-"),IFERROR(INDEX(機種マスタ!$C$4:$C$363,MATCH($C186,機種マスタ!$B$4:$B$363,0)),"-")))</f>
        <v/>
      </c>
      <c r="G186" s="30">
        <f>IF($C186="","",IF($B186="YM",IFERROR(N(INDEX(機種マスタ!$L$4:$L$203,MATCH($C186,機種マスタ!$J$4:$J$203,0))),0),IFERROR(N(INDEX(機種マスタ!$D$4:$D$363,MATCH($C186,機種マスタ!$B$4:$B$363,0))),0)))</f>
        <v/>
      </c>
      <c r="H186" s="30">
        <f>IF($C186="","",IF($D186="",1,$D186))</f>
        <v/>
      </c>
      <c r="I186" s="30">
        <f>IF($C186="","",IF(G186&gt;0,(G186+IFERROR(VLOOKUP(F186,機種マスタ!$Q$4:$R$6,2,FALSE),0))*H186,0))</f>
        <v/>
      </c>
    </row>
    <row r="187">
      <c r="A187" s="56" t="n"/>
      <c r="B187" s="41" t="n"/>
      <c r="C187" s="40" t="n"/>
      <c r="D187" s="41" t="n"/>
      <c r="E187" s="30">
        <f>IF($C187="","",IF($B187="YM",IFERROR(INDEX(機種マスタ!$I$4:$I$203,MATCH($C187,機種マスタ!$J$4:$J$203,0)),"未登録"),IFERROR(INDEX(機種マスタ!$A$4:$A$363,MATCH($C187,機種マスタ!$B$4:$B$363,0)),"未登録")))</f>
        <v/>
      </c>
      <c r="F187" s="30">
        <f>IF($C187="","",IF($B187="YM",IFERROR(INDEX(機種マスタ!$K$4:$K$203,MATCH($C187,機種マスタ!$J$4:$J$203,0)),"-"),IFERROR(INDEX(機種マスタ!$C$4:$C$363,MATCH($C187,機種マスタ!$B$4:$B$363,0)),"-")))</f>
        <v/>
      </c>
      <c r="G187" s="30">
        <f>IF($C187="","",IF($B187="YM",IFERROR(N(INDEX(機種マスタ!$L$4:$L$203,MATCH($C187,機種マスタ!$J$4:$J$203,0))),0),IFERROR(N(INDEX(機種マスタ!$D$4:$D$363,MATCH($C187,機種マスタ!$B$4:$B$363,0))),0)))</f>
        <v/>
      </c>
      <c r="H187" s="30">
        <f>IF($C187="","",IF($D187="",1,$D187))</f>
        <v/>
      </c>
      <c r="I187" s="30">
        <f>IF($C187="","",IF(G187&gt;0,(G187+IFERROR(VLOOKUP(F187,機種マスタ!$Q$4:$R$6,2,FALSE),0))*H187,0))</f>
        <v/>
      </c>
    </row>
    <row r="188">
      <c r="A188" s="56" t="n"/>
      <c r="B188" s="41" t="n"/>
      <c r="C188" s="40" t="n"/>
      <c r="D188" s="41" t="n"/>
      <c r="E188" s="30">
        <f>IF($C188="","",IF($B188="YM",IFERROR(INDEX(機種マスタ!$I$4:$I$203,MATCH($C188,機種マスタ!$J$4:$J$203,0)),"未登録"),IFERROR(INDEX(機種マスタ!$A$4:$A$363,MATCH($C188,機種マスタ!$B$4:$B$363,0)),"未登録")))</f>
        <v/>
      </c>
      <c r="F188" s="30">
        <f>IF($C188="","",IF($B188="YM",IFERROR(INDEX(機種マスタ!$K$4:$K$203,MATCH($C188,機種マスタ!$J$4:$J$203,0)),"-"),IFERROR(INDEX(機種マスタ!$C$4:$C$363,MATCH($C188,機種マスタ!$B$4:$B$363,0)),"-")))</f>
        <v/>
      </c>
      <c r="G188" s="30">
        <f>IF($C188="","",IF($B188="YM",IFERROR(N(INDEX(機種マスタ!$L$4:$L$203,MATCH($C188,機種マスタ!$J$4:$J$203,0))),0),IFERROR(N(INDEX(機種マスタ!$D$4:$D$363,MATCH($C188,機種マスタ!$B$4:$B$363,0))),0)))</f>
        <v/>
      </c>
      <c r="H188" s="30">
        <f>IF($C188="","",IF($D188="",1,$D188))</f>
        <v/>
      </c>
      <c r="I188" s="30">
        <f>IF($C188="","",IF(G188&gt;0,(G188+IFERROR(VLOOKUP(F188,機種マスタ!$Q$4:$R$6,2,FALSE),0))*H188,0))</f>
        <v/>
      </c>
    </row>
    <row r="189">
      <c r="A189" s="56" t="n"/>
      <c r="B189" s="41" t="n"/>
      <c r="C189" s="40" t="n"/>
      <c r="D189" s="41" t="n"/>
      <c r="E189" s="30">
        <f>IF($C189="","",IF($B189="YM",IFERROR(INDEX(機種マスタ!$I$4:$I$203,MATCH($C189,機種マスタ!$J$4:$J$203,0)),"未登録"),IFERROR(INDEX(機種マスタ!$A$4:$A$363,MATCH($C189,機種マスタ!$B$4:$B$363,0)),"未登録")))</f>
        <v/>
      </c>
      <c r="F189" s="30">
        <f>IF($C189="","",IF($B189="YM",IFERROR(INDEX(機種マスタ!$K$4:$K$203,MATCH($C189,機種マスタ!$J$4:$J$203,0)),"-"),IFERROR(INDEX(機種マスタ!$C$4:$C$363,MATCH($C189,機種マスタ!$B$4:$B$363,0)),"-")))</f>
        <v/>
      </c>
      <c r="G189" s="30">
        <f>IF($C189="","",IF($B189="YM",IFERROR(N(INDEX(機種マスタ!$L$4:$L$203,MATCH($C189,機種マスタ!$J$4:$J$203,0))),0),IFERROR(N(INDEX(機種マスタ!$D$4:$D$363,MATCH($C189,機種マスタ!$B$4:$B$363,0))),0)))</f>
        <v/>
      </c>
      <c r="H189" s="30">
        <f>IF($C189="","",IF($D189="",1,$D189))</f>
        <v/>
      </c>
      <c r="I189" s="30">
        <f>IF($C189="","",IF(G189&gt;0,(G189+IFERROR(VLOOKUP(F189,機種マスタ!$Q$4:$R$6,2,FALSE),0))*H189,0))</f>
        <v/>
      </c>
    </row>
    <row r="190">
      <c r="A190" s="56" t="n"/>
      <c r="B190" s="41" t="n"/>
      <c r="C190" s="40" t="n"/>
      <c r="D190" s="41" t="n"/>
      <c r="E190" s="30">
        <f>IF($C190="","",IF($B190="YM",IFERROR(INDEX(機種マスタ!$I$4:$I$203,MATCH($C190,機種マスタ!$J$4:$J$203,0)),"未登録"),IFERROR(INDEX(機種マスタ!$A$4:$A$363,MATCH($C190,機種マスタ!$B$4:$B$363,0)),"未登録")))</f>
        <v/>
      </c>
      <c r="F190" s="30">
        <f>IF($C190="","",IF($B190="YM",IFERROR(INDEX(機種マスタ!$K$4:$K$203,MATCH($C190,機種マスタ!$J$4:$J$203,0)),"-"),IFERROR(INDEX(機種マスタ!$C$4:$C$363,MATCH($C190,機種マスタ!$B$4:$B$363,0)),"-")))</f>
        <v/>
      </c>
      <c r="G190" s="30">
        <f>IF($C190="","",IF($B190="YM",IFERROR(N(INDEX(機種マスタ!$L$4:$L$203,MATCH($C190,機種マスタ!$J$4:$J$203,0))),0),IFERROR(N(INDEX(機種マスタ!$D$4:$D$363,MATCH($C190,機種マスタ!$B$4:$B$363,0))),0)))</f>
        <v/>
      </c>
      <c r="H190" s="30">
        <f>IF($C190="","",IF($D190="",1,$D190))</f>
        <v/>
      </c>
      <c r="I190" s="30">
        <f>IF($C190="","",IF(G190&gt;0,(G190+IFERROR(VLOOKUP(F190,機種マスタ!$Q$4:$R$6,2,FALSE),0))*H190,0))</f>
        <v/>
      </c>
    </row>
    <row r="191">
      <c r="A191" s="56" t="n"/>
      <c r="B191" s="41" t="n"/>
      <c r="C191" s="40" t="n"/>
      <c r="D191" s="41" t="n"/>
      <c r="E191" s="30">
        <f>IF($C191="","",IF($B191="YM",IFERROR(INDEX(機種マスタ!$I$4:$I$203,MATCH($C191,機種マスタ!$J$4:$J$203,0)),"未登録"),IFERROR(INDEX(機種マスタ!$A$4:$A$363,MATCH($C191,機種マスタ!$B$4:$B$363,0)),"未登録")))</f>
        <v/>
      </c>
      <c r="F191" s="30">
        <f>IF($C191="","",IF($B191="YM",IFERROR(INDEX(機種マスタ!$K$4:$K$203,MATCH($C191,機種マスタ!$J$4:$J$203,0)),"-"),IFERROR(INDEX(機種マスタ!$C$4:$C$363,MATCH($C191,機種マスタ!$B$4:$B$363,0)),"-")))</f>
        <v/>
      </c>
      <c r="G191" s="30">
        <f>IF($C191="","",IF($B191="YM",IFERROR(N(INDEX(機種マスタ!$L$4:$L$203,MATCH($C191,機種マスタ!$J$4:$J$203,0))),0),IFERROR(N(INDEX(機種マスタ!$D$4:$D$363,MATCH($C191,機種マスタ!$B$4:$B$363,0))),0)))</f>
        <v/>
      </c>
      <c r="H191" s="30">
        <f>IF($C191="","",IF($D191="",1,$D191))</f>
        <v/>
      </c>
      <c r="I191" s="30">
        <f>IF($C191="","",IF(G191&gt;0,(G191+IFERROR(VLOOKUP(F191,機種マスタ!$Q$4:$R$6,2,FALSE),0))*H191,0))</f>
        <v/>
      </c>
    </row>
    <row r="192">
      <c r="A192" s="56" t="n"/>
      <c r="B192" s="41" t="n"/>
      <c r="C192" s="40" t="n"/>
      <c r="D192" s="41" t="n"/>
      <c r="E192" s="30">
        <f>IF($C192="","",IF($B192="YM",IFERROR(INDEX(機種マスタ!$I$4:$I$203,MATCH($C192,機種マスタ!$J$4:$J$203,0)),"未登録"),IFERROR(INDEX(機種マスタ!$A$4:$A$363,MATCH($C192,機種マスタ!$B$4:$B$363,0)),"未登録")))</f>
        <v/>
      </c>
      <c r="F192" s="30">
        <f>IF($C192="","",IF($B192="YM",IFERROR(INDEX(機種マスタ!$K$4:$K$203,MATCH($C192,機種マスタ!$J$4:$J$203,0)),"-"),IFERROR(INDEX(機種マスタ!$C$4:$C$363,MATCH($C192,機種マスタ!$B$4:$B$363,0)),"-")))</f>
        <v/>
      </c>
      <c r="G192" s="30">
        <f>IF($C192="","",IF($B192="YM",IFERROR(N(INDEX(機種マスタ!$L$4:$L$203,MATCH($C192,機種マスタ!$J$4:$J$203,0))),0),IFERROR(N(INDEX(機種マスタ!$D$4:$D$363,MATCH($C192,機種マスタ!$B$4:$B$363,0))),0)))</f>
        <v/>
      </c>
      <c r="H192" s="30">
        <f>IF($C192="","",IF($D192="",1,$D192))</f>
        <v/>
      </c>
      <c r="I192" s="30">
        <f>IF($C192="","",IF(G192&gt;0,(G192+IFERROR(VLOOKUP(F192,機種マスタ!$Q$4:$R$6,2,FALSE),0))*H192,0))</f>
        <v/>
      </c>
    </row>
    <row r="193">
      <c r="A193" s="56" t="n"/>
      <c r="B193" s="41" t="n"/>
      <c r="C193" s="40" t="n"/>
      <c r="D193" s="41" t="n"/>
      <c r="E193" s="30">
        <f>IF($C193="","",IF($B193="YM",IFERROR(INDEX(機種マスタ!$I$4:$I$203,MATCH($C193,機種マスタ!$J$4:$J$203,0)),"未登録"),IFERROR(INDEX(機種マスタ!$A$4:$A$363,MATCH($C193,機種マスタ!$B$4:$B$363,0)),"未登録")))</f>
        <v/>
      </c>
      <c r="F193" s="30">
        <f>IF($C193="","",IF($B193="YM",IFERROR(INDEX(機種マスタ!$K$4:$K$203,MATCH($C193,機種マスタ!$J$4:$J$203,0)),"-"),IFERROR(INDEX(機種マスタ!$C$4:$C$363,MATCH($C193,機種マスタ!$B$4:$B$363,0)),"-")))</f>
        <v/>
      </c>
      <c r="G193" s="30">
        <f>IF($C193="","",IF($B193="YM",IFERROR(N(INDEX(機種マスタ!$L$4:$L$203,MATCH($C193,機種マスタ!$J$4:$J$203,0))),0),IFERROR(N(INDEX(機種マスタ!$D$4:$D$363,MATCH($C193,機種マスタ!$B$4:$B$363,0))),0)))</f>
        <v/>
      </c>
      <c r="H193" s="30">
        <f>IF($C193="","",IF($D193="",1,$D193))</f>
        <v/>
      </c>
      <c r="I193" s="30">
        <f>IF($C193="","",IF(G193&gt;0,(G193+IFERROR(VLOOKUP(F193,機種マスタ!$Q$4:$R$6,2,FALSE),0))*H193,0))</f>
        <v/>
      </c>
    </row>
    <row r="194">
      <c r="A194" s="56" t="n"/>
      <c r="B194" s="41" t="n"/>
      <c r="C194" s="40" t="n"/>
      <c r="D194" s="41" t="n"/>
      <c r="E194" s="30">
        <f>IF($C194="","",IF($B194="YM",IFERROR(INDEX(機種マスタ!$I$4:$I$203,MATCH($C194,機種マスタ!$J$4:$J$203,0)),"未登録"),IFERROR(INDEX(機種マスタ!$A$4:$A$363,MATCH($C194,機種マスタ!$B$4:$B$363,0)),"未登録")))</f>
        <v/>
      </c>
      <c r="F194" s="30">
        <f>IF($C194="","",IF($B194="YM",IFERROR(INDEX(機種マスタ!$K$4:$K$203,MATCH($C194,機種マスタ!$J$4:$J$203,0)),"-"),IFERROR(INDEX(機種マスタ!$C$4:$C$363,MATCH($C194,機種マスタ!$B$4:$B$363,0)),"-")))</f>
        <v/>
      </c>
      <c r="G194" s="30">
        <f>IF($C194="","",IF($B194="YM",IFERROR(N(INDEX(機種マスタ!$L$4:$L$203,MATCH($C194,機種マスタ!$J$4:$J$203,0))),0),IFERROR(N(INDEX(機種マスタ!$D$4:$D$363,MATCH($C194,機種マスタ!$B$4:$B$363,0))),0)))</f>
        <v/>
      </c>
      <c r="H194" s="30">
        <f>IF($C194="","",IF($D194="",1,$D194))</f>
        <v/>
      </c>
      <c r="I194" s="30">
        <f>IF($C194="","",IF(G194&gt;0,(G194+IFERROR(VLOOKUP(F194,機種マスタ!$Q$4:$R$6,2,FALSE),0))*H194,0))</f>
        <v/>
      </c>
    </row>
    <row r="195">
      <c r="A195" s="56" t="n"/>
      <c r="B195" s="41" t="n"/>
      <c r="C195" s="40" t="n"/>
      <c r="D195" s="41" t="n"/>
      <c r="E195" s="30">
        <f>IF($C195="","",IF($B195="YM",IFERROR(INDEX(機種マスタ!$I$4:$I$203,MATCH($C195,機種マスタ!$J$4:$J$203,0)),"未登録"),IFERROR(INDEX(機種マスタ!$A$4:$A$363,MATCH($C195,機種マスタ!$B$4:$B$363,0)),"未登録")))</f>
        <v/>
      </c>
      <c r="F195" s="30">
        <f>IF($C195="","",IF($B195="YM",IFERROR(INDEX(機種マスタ!$K$4:$K$203,MATCH($C195,機種マスタ!$J$4:$J$203,0)),"-"),IFERROR(INDEX(機種マスタ!$C$4:$C$363,MATCH($C195,機種マスタ!$B$4:$B$363,0)),"-")))</f>
        <v/>
      </c>
      <c r="G195" s="30">
        <f>IF($C195="","",IF($B195="YM",IFERROR(N(INDEX(機種マスタ!$L$4:$L$203,MATCH($C195,機種マスタ!$J$4:$J$203,0))),0),IFERROR(N(INDEX(機種マスタ!$D$4:$D$363,MATCH($C195,機種マスタ!$B$4:$B$363,0))),0)))</f>
        <v/>
      </c>
      <c r="H195" s="30">
        <f>IF($C195="","",IF($D195="",1,$D195))</f>
        <v/>
      </c>
      <c r="I195" s="30">
        <f>IF($C195="","",IF(G195&gt;0,(G195+IFERROR(VLOOKUP(F195,機種マスタ!$Q$4:$R$6,2,FALSE),0))*H195,0))</f>
        <v/>
      </c>
    </row>
    <row r="196">
      <c r="A196" s="56" t="n"/>
      <c r="B196" s="41" t="n"/>
      <c r="C196" s="40" t="n"/>
      <c r="D196" s="41" t="n"/>
      <c r="E196" s="30">
        <f>IF($C196="","",IF($B196="YM",IFERROR(INDEX(機種マスタ!$I$4:$I$203,MATCH($C196,機種マスタ!$J$4:$J$203,0)),"未登録"),IFERROR(INDEX(機種マスタ!$A$4:$A$363,MATCH($C196,機種マスタ!$B$4:$B$363,0)),"未登録")))</f>
        <v/>
      </c>
      <c r="F196" s="30">
        <f>IF($C196="","",IF($B196="YM",IFERROR(INDEX(機種マスタ!$K$4:$K$203,MATCH($C196,機種マスタ!$J$4:$J$203,0)),"-"),IFERROR(INDEX(機種マスタ!$C$4:$C$363,MATCH($C196,機種マスタ!$B$4:$B$363,0)),"-")))</f>
        <v/>
      </c>
      <c r="G196" s="30">
        <f>IF($C196="","",IF($B196="YM",IFERROR(N(INDEX(機種マスタ!$L$4:$L$203,MATCH($C196,機種マスタ!$J$4:$J$203,0))),0),IFERROR(N(INDEX(機種マスタ!$D$4:$D$363,MATCH($C196,機種マスタ!$B$4:$B$363,0))),0)))</f>
        <v/>
      </c>
      <c r="H196" s="30">
        <f>IF($C196="","",IF($D196="",1,$D196))</f>
        <v/>
      </c>
      <c r="I196" s="30">
        <f>IF($C196="","",IF(G196&gt;0,(G196+IFERROR(VLOOKUP(F196,機種マスタ!$Q$4:$R$6,2,FALSE),0))*H196,0))</f>
        <v/>
      </c>
    </row>
    <row r="197">
      <c r="A197" s="56" t="n"/>
      <c r="B197" s="41" t="n"/>
      <c r="C197" s="40" t="n"/>
      <c r="D197" s="41" t="n"/>
      <c r="E197" s="30">
        <f>IF($C197="","",IF($B197="YM",IFERROR(INDEX(機種マスタ!$I$4:$I$203,MATCH($C197,機種マスタ!$J$4:$J$203,0)),"未登録"),IFERROR(INDEX(機種マスタ!$A$4:$A$363,MATCH($C197,機種マスタ!$B$4:$B$363,0)),"未登録")))</f>
        <v/>
      </c>
      <c r="F197" s="30">
        <f>IF($C197="","",IF($B197="YM",IFERROR(INDEX(機種マスタ!$K$4:$K$203,MATCH($C197,機種マスタ!$J$4:$J$203,0)),"-"),IFERROR(INDEX(機種マスタ!$C$4:$C$363,MATCH($C197,機種マスタ!$B$4:$B$363,0)),"-")))</f>
        <v/>
      </c>
      <c r="G197" s="30">
        <f>IF($C197="","",IF($B197="YM",IFERROR(N(INDEX(機種マスタ!$L$4:$L$203,MATCH($C197,機種マスタ!$J$4:$J$203,0))),0),IFERROR(N(INDEX(機種マスタ!$D$4:$D$363,MATCH($C197,機種マスタ!$B$4:$B$363,0))),0)))</f>
        <v/>
      </c>
      <c r="H197" s="30">
        <f>IF($C197="","",IF($D197="",1,$D197))</f>
        <v/>
      </c>
      <c r="I197" s="30">
        <f>IF($C197="","",IF(G197&gt;0,(G197+IFERROR(VLOOKUP(F197,機種マスタ!$Q$4:$R$6,2,FALSE),0))*H197,0))</f>
        <v/>
      </c>
    </row>
    <row r="198">
      <c r="A198" s="56" t="n"/>
      <c r="B198" s="41" t="n"/>
      <c r="C198" s="40" t="n"/>
      <c r="D198" s="41" t="n"/>
      <c r="E198" s="30">
        <f>IF($C198="","",IF($B198="YM",IFERROR(INDEX(機種マスタ!$I$4:$I$203,MATCH($C198,機種マスタ!$J$4:$J$203,0)),"未登録"),IFERROR(INDEX(機種マスタ!$A$4:$A$363,MATCH($C198,機種マスタ!$B$4:$B$363,0)),"未登録")))</f>
        <v/>
      </c>
      <c r="F198" s="30">
        <f>IF($C198="","",IF($B198="YM",IFERROR(INDEX(機種マスタ!$K$4:$K$203,MATCH($C198,機種マスタ!$J$4:$J$203,0)),"-"),IFERROR(INDEX(機種マスタ!$C$4:$C$363,MATCH($C198,機種マスタ!$B$4:$B$363,0)),"-")))</f>
        <v/>
      </c>
      <c r="G198" s="30">
        <f>IF($C198="","",IF($B198="YM",IFERROR(N(INDEX(機種マスタ!$L$4:$L$203,MATCH($C198,機種マスタ!$J$4:$J$203,0))),0),IFERROR(N(INDEX(機種マスタ!$D$4:$D$363,MATCH($C198,機種マスタ!$B$4:$B$363,0))),0)))</f>
        <v/>
      </c>
      <c r="H198" s="30">
        <f>IF($C198="","",IF($D198="",1,$D198))</f>
        <v/>
      </c>
      <c r="I198" s="30">
        <f>IF($C198="","",IF(G198&gt;0,(G198+IFERROR(VLOOKUP(F198,機種マスタ!$Q$4:$R$6,2,FALSE),0))*H198,0))</f>
        <v/>
      </c>
    </row>
    <row r="199">
      <c r="A199" s="56" t="n"/>
      <c r="B199" s="41" t="n"/>
      <c r="C199" s="40" t="n"/>
      <c r="D199" s="41" t="n"/>
      <c r="E199" s="30">
        <f>IF($C199="","",IF($B199="YM",IFERROR(INDEX(機種マスタ!$I$4:$I$203,MATCH($C199,機種マスタ!$J$4:$J$203,0)),"未登録"),IFERROR(INDEX(機種マスタ!$A$4:$A$363,MATCH($C199,機種マスタ!$B$4:$B$363,0)),"未登録")))</f>
        <v/>
      </c>
      <c r="F199" s="30">
        <f>IF($C199="","",IF($B199="YM",IFERROR(INDEX(機種マスタ!$K$4:$K$203,MATCH($C199,機種マスタ!$J$4:$J$203,0)),"-"),IFERROR(INDEX(機種マスタ!$C$4:$C$363,MATCH($C199,機種マスタ!$B$4:$B$363,0)),"-")))</f>
        <v/>
      </c>
      <c r="G199" s="30">
        <f>IF($C199="","",IF($B199="YM",IFERROR(N(INDEX(機種マスタ!$L$4:$L$203,MATCH($C199,機種マスタ!$J$4:$J$203,0))),0),IFERROR(N(INDEX(機種マスタ!$D$4:$D$363,MATCH($C199,機種マスタ!$B$4:$B$363,0))),0)))</f>
        <v/>
      </c>
      <c r="H199" s="30">
        <f>IF($C199="","",IF($D199="",1,$D199))</f>
        <v/>
      </c>
      <c r="I199" s="30">
        <f>IF($C199="","",IF(G199&gt;0,(G199+IFERROR(VLOOKUP(F199,機種マスタ!$Q$4:$R$6,2,FALSE),0))*H199,0))</f>
        <v/>
      </c>
    </row>
    <row r="200">
      <c r="A200" s="56" t="n"/>
      <c r="B200" s="41" t="n"/>
      <c r="C200" s="40" t="n"/>
      <c r="D200" s="41" t="n"/>
      <c r="E200" s="30">
        <f>IF($C200="","",IF($B200="YM",IFERROR(INDEX(機種マスタ!$I$4:$I$203,MATCH($C200,機種マスタ!$J$4:$J$203,0)),"未登録"),IFERROR(INDEX(機種マスタ!$A$4:$A$363,MATCH($C200,機種マスタ!$B$4:$B$363,0)),"未登録")))</f>
        <v/>
      </c>
      <c r="F200" s="30">
        <f>IF($C200="","",IF($B200="YM",IFERROR(INDEX(機種マスタ!$K$4:$K$203,MATCH($C200,機種マスタ!$J$4:$J$203,0)),"-"),IFERROR(INDEX(機種マスタ!$C$4:$C$363,MATCH($C200,機種マスタ!$B$4:$B$363,0)),"-")))</f>
        <v/>
      </c>
      <c r="G200" s="30">
        <f>IF($C200="","",IF($B200="YM",IFERROR(N(INDEX(機種マスタ!$L$4:$L$203,MATCH($C200,機種マスタ!$J$4:$J$203,0))),0),IFERROR(N(INDEX(機種マスタ!$D$4:$D$363,MATCH($C200,機種マスタ!$B$4:$B$363,0))),0)))</f>
        <v/>
      </c>
      <c r="H200" s="30">
        <f>IF($C200="","",IF($D200="",1,$D200))</f>
        <v/>
      </c>
      <c r="I200" s="30">
        <f>IF($C200="","",IF(G200&gt;0,(G200+IFERROR(VLOOKUP(F200,機種マスタ!$Q$4:$R$6,2,FALSE),0))*H200,0))</f>
        <v/>
      </c>
    </row>
    <row r="201">
      <c r="A201" s="56" t="n"/>
      <c r="B201" s="41" t="n"/>
      <c r="C201" s="40" t="n"/>
      <c r="D201" s="41" t="n"/>
      <c r="E201" s="30">
        <f>IF($C201="","",IF($B201="YM",IFERROR(INDEX(機種マスタ!$I$4:$I$203,MATCH($C201,機種マスタ!$J$4:$J$203,0)),"未登録"),IFERROR(INDEX(機種マスタ!$A$4:$A$363,MATCH($C201,機種マスタ!$B$4:$B$363,0)),"未登録")))</f>
        <v/>
      </c>
      <c r="F201" s="30">
        <f>IF($C201="","",IF($B201="YM",IFERROR(INDEX(機種マスタ!$K$4:$K$203,MATCH($C201,機種マスタ!$J$4:$J$203,0)),"-"),IFERROR(INDEX(機種マスタ!$C$4:$C$363,MATCH($C201,機種マスタ!$B$4:$B$363,0)),"-")))</f>
        <v/>
      </c>
      <c r="G201" s="30">
        <f>IF($C201="","",IF($B201="YM",IFERROR(N(INDEX(機種マスタ!$L$4:$L$203,MATCH($C201,機種マスタ!$J$4:$J$203,0))),0),IFERROR(N(INDEX(機種マスタ!$D$4:$D$363,MATCH($C201,機種マスタ!$B$4:$B$363,0))),0)))</f>
        <v/>
      </c>
      <c r="H201" s="30">
        <f>IF($C201="","",IF($D201="",1,$D201))</f>
        <v/>
      </c>
      <c r="I201" s="30">
        <f>IF($C201="","",IF(G201&gt;0,(G201+IFERROR(VLOOKUP(F201,機種マスタ!$Q$4:$R$6,2,FALSE),0))*H201,0))</f>
        <v/>
      </c>
    </row>
    <row r="202">
      <c r="A202" s="56" t="n"/>
      <c r="B202" s="41" t="n"/>
      <c r="C202" s="40" t="n"/>
      <c r="D202" s="41" t="n"/>
      <c r="E202" s="30">
        <f>IF($C202="","",IF($B202="YM",IFERROR(INDEX(機種マスタ!$I$4:$I$203,MATCH($C202,機種マスタ!$J$4:$J$203,0)),"未登録"),IFERROR(INDEX(機種マスタ!$A$4:$A$363,MATCH($C202,機種マスタ!$B$4:$B$363,0)),"未登録")))</f>
        <v/>
      </c>
      <c r="F202" s="30">
        <f>IF($C202="","",IF($B202="YM",IFERROR(INDEX(機種マスタ!$K$4:$K$203,MATCH($C202,機種マスタ!$J$4:$J$203,0)),"-"),IFERROR(INDEX(機種マスタ!$C$4:$C$363,MATCH($C202,機種マスタ!$B$4:$B$363,0)),"-")))</f>
        <v/>
      </c>
      <c r="G202" s="30">
        <f>IF($C202="","",IF($B202="YM",IFERROR(N(INDEX(機種マスタ!$L$4:$L$203,MATCH($C202,機種マスタ!$J$4:$J$203,0))),0),IFERROR(N(INDEX(機種マスタ!$D$4:$D$363,MATCH($C202,機種マスタ!$B$4:$B$363,0))),0)))</f>
        <v/>
      </c>
      <c r="H202" s="30">
        <f>IF($C202="","",IF($D202="",1,$D202))</f>
        <v/>
      </c>
      <c r="I202" s="30">
        <f>IF($C202="","",IF(G202&gt;0,(G202+IFERROR(VLOOKUP(F202,機種マスタ!$Q$4:$R$6,2,FALSE),0))*H202,0))</f>
        <v/>
      </c>
    </row>
    <row r="203">
      <c r="A203" s="56" t="n"/>
      <c r="B203" s="41" t="n"/>
      <c r="C203" s="40" t="n"/>
      <c r="D203" s="41" t="n"/>
      <c r="E203" s="30">
        <f>IF($C203="","",IF($B203="YM",IFERROR(INDEX(機種マスタ!$I$4:$I$203,MATCH($C203,機種マスタ!$J$4:$J$203,0)),"未登録"),IFERROR(INDEX(機種マスタ!$A$4:$A$363,MATCH($C203,機種マスタ!$B$4:$B$363,0)),"未登録")))</f>
        <v/>
      </c>
      <c r="F203" s="30">
        <f>IF($C203="","",IF($B203="YM",IFERROR(INDEX(機種マスタ!$K$4:$K$203,MATCH($C203,機種マスタ!$J$4:$J$203,0)),"-"),IFERROR(INDEX(機種マスタ!$C$4:$C$363,MATCH($C203,機種マスタ!$B$4:$B$363,0)),"-")))</f>
        <v/>
      </c>
      <c r="G203" s="30">
        <f>IF($C203="","",IF($B203="YM",IFERROR(N(INDEX(機種マスタ!$L$4:$L$203,MATCH($C203,機種マスタ!$J$4:$J$203,0))),0),IFERROR(N(INDEX(機種マスタ!$D$4:$D$363,MATCH($C203,機種マスタ!$B$4:$B$363,0))),0)))</f>
        <v/>
      </c>
      <c r="H203" s="30">
        <f>IF($C203="","",IF($D203="",1,$D203))</f>
        <v/>
      </c>
      <c r="I203" s="30">
        <f>IF($C203="","",IF(G203&gt;0,(G203+IFERROR(VLOOKUP(F203,機種マスタ!$Q$4:$R$6,2,FALSE),0))*H203,0))</f>
        <v/>
      </c>
    </row>
    <row r="204">
      <c r="A204" s="56" t="n"/>
      <c r="B204" s="41" t="n"/>
      <c r="C204" s="40" t="n"/>
      <c r="D204" s="41" t="n"/>
      <c r="E204" s="30">
        <f>IF($C204="","",IF($B204="YM",IFERROR(INDEX(機種マスタ!$I$4:$I$203,MATCH($C204,機種マスタ!$J$4:$J$203,0)),"未登録"),IFERROR(INDEX(機種マスタ!$A$4:$A$363,MATCH($C204,機種マスタ!$B$4:$B$363,0)),"未登録")))</f>
        <v/>
      </c>
      <c r="F204" s="30">
        <f>IF($C204="","",IF($B204="YM",IFERROR(INDEX(機種マスタ!$K$4:$K$203,MATCH($C204,機種マスタ!$J$4:$J$203,0)),"-"),IFERROR(INDEX(機種マスタ!$C$4:$C$363,MATCH($C204,機種マスタ!$B$4:$B$363,0)),"-")))</f>
        <v/>
      </c>
      <c r="G204" s="30">
        <f>IF($C204="","",IF($B204="YM",IFERROR(N(INDEX(機種マスタ!$L$4:$L$203,MATCH($C204,機種マスタ!$J$4:$J$203,0))),0),IFERROR(N(INDEX(機種マスタ!$D$4:$D$363,MATCH($C204,機種マスタ!$B$4:$B$363,0))),0)))</f>
        <v/>
      </c>
      <c r="H204" s="30">
        <f>IF($C204="","",IF($D204="",1,$D204))</f>
        <v/>
      </c>
      <c r="I204" s="30">
        <f>IF($C204="","",IF(G204&gt;0,(G204+IFERROR(VLOOKUP(F204,機種マスタ!$Q$4:$R$6,2,FALSE),0))*H204,0))</f>
        <v/>
      </c>
    </row>
    <row r="205">
      <c r="A205" s="56" t="n"/>
      <c r="B205" s="41" t="n"/>
      <c r="C205" s="40" t="n"/>
      <c r="D205" s="41" t="n"/>
      <c r="E205" s="30">
        <f>IF($C205="","",IF($B205="YM",IFERROR(INDEX(機種マスタ!$I$4:$I$203,MATCH($C205,機種マスタ!$J$4:$J$203,0)),"未登録"),IFERROR(INDEX(機種マスタ!$A$4:$A$363,MATCH($C205,機種マスタ!$B$4:$B$363,0)),"未登録")))</f>
        <v/>
      </c>
      <c r="F205" s="30">
        <f>IF($C205="","",IF($B205="YM",IFERROR(INDEX(機種マスタ!$K$4:$K$203,MATCH($C205,機種マスタ!$J$4:$J$203,0)),"-"),IFERROR(INDEX(機種マスタ!$C$4:$C$363,MATCH($C205,機種マスタ!$B$4:$B$363,0)),"-")))</f>
        <v/>
      </c>
      <c r="G205" s="30">
        <f>IF($C205="","",IF($B205="YM",IFERROR(N(INDEX(機種マスタ!$L$4:$L$203,MATCH($C205,機種マスタ!$J$4:$J$203,0))),0),IFERROR(N(INDEX(機種マスタ!$D$4:$D$363,MATCH($C205,機種マスタ!$B$4:$B$363,0))),0)))</f>
        <v/>
      </c>
      <c r="H205" s="30">
        <f>IF($C205="","",IF($D205="",1,$D205))</f>
        <v/>
      </c>
      <c r="I205" s="30">
        <f>IF($C205="","",IF(G205&gt;0,(G205+IFERROR(VLOOKUP(F205,機種マスタ!$Q$4:$R$6,2,FALSE),0))*H205,0))</f>
        <v/>
      </c>
    </row>
    <row r="206">
      <c r="A206" s="56" t="n"/>
      <c r="B206" s="41" t="n"/>
      <c r="C206" s="40" t="n"/>
      <c r="D206" s="41" t="n"/>
      <c r="E206" s="30">
        <f>IF($C206="","",IF($B206="YM",IFERROR(INDEX(機種マスタ!$I$4:$I$203,MATCH($C206,機種マスタ!$J$4:$J$203,0)),"未登録"),IFERROR(INDEX(機種マスタ!$A$4:$A$363,MATCH($C206,機種マスタ!$B$4:$B$363,0)),"未登録")))</f>
        <v/>
      </c>
      <c r="F206" s="30">
        <f>IF($C206="","",IF($B206="YM",IFERROR(INDEX(機種マスタ!$K$4:$K$203,MATCH($C206,機種マスタ!$J$4:$J$203,0)),"-"),IFERROR(INDEX(機種マスタ!$C$4:$C$363,MATCH($C206,機種マスタ!$B$4:$B$363,0)),"-")))</f>
        <v/>
      </c>
      <c r="G206" s="30">
        <f>IF($C206="","",IF($B206="YM",IFERROR(N(INDEX(機種マスタ!$L$4:$L$203,MATCH($C206,機種マスタ!$J$4:$J$203,0))),0),IFERROR(N(INDEX(機種マスタ!$D$4:$D$363,MATCH($C206,機種マスタ!$B$4:$B$363,0))),0)))</f>
        <v/>
      </c>
      <c r="H206" s="30">
        <f>IF($C206="","",IF($D206="",1,$D206))</f>
        <v/>
      </c>
      <c r="I206" s="30">
        <f>IF($C206="","",IF(G206&gt;0,(G206+IFERROR(VLOOKUP(F206,機種マスタ!$Q$4:$R$6,2,FALSE),0))*H206,0))</f>
        <v/>
      </c>
    </row>
    <row r="207">
      <c r="A207" s="56" t="n"/>
      <c r="B207" s="41" t="n"/>
      <c r="C207" s="40" t="n"/>
      <c r="D207" s="41" t="n"/>
      <c r="E207" s="30">
        <f>IF($C207="","",IF($B207="YM",IFERROR(INDEX(機種マスタ!$I$4:$I$203,MATCH($C207,機種マスタ!$J$4:$J$203,0)),"未登録"),IFERROR(INDEX(機種マスタ!$A$4:$A$363,MATCH($C207,機種マスタ!$B$4:$B$363,0)),"未登録")))</f>
        <v/>
      </c>
      <c r="F207" s="30">
        <f>IF($C207="","",IF($B207="YM",IFERROR(INDEX(機種マスタ!$K$4:$K$203,MATCH($C207,機種マスタ!$J$4:$J$203,0)),"-"),IFERROR(INDEX(機種マスタ!$C$4:$C$363,MATCH($C207,機種マスタ!$B$4:$B$363,0)),"-")))</f>
        <v/>
      </c>
      <c r="G207" s="30">
        <f>IF($C207="","",IF($B207="YM",IFERROR(N(INDEX(機種マスタ!$L$4:$L$203,MATCH($C207,機種マスタ!$J$4:$J$203,0))),0),IFERROR(N(INDEX(機種マスタ!$D$4:$D$363,MATCH($C207,機種マスタ!$B$4:$B$363,0))),0)))</f>
        <v/>
      </c>
      <c r="H207" s="30">
        <f>IF($C207="","",IF($D207="",1,$D207))</f>
        <v/>
      </c>
      <c r="I207" s="30">
        <f>IF($C207="","",IF(G207&gt;0,(G207+IFERROR(VLOOKUP(F207,機種マスタ!$Q$4:$R$6,2,FALSE),0))*H207,0))</f>
        <v/>
      </c>
    </row>
    <row r="208">
      <c r="A208" s="56" t="n"/>
      <c r="B208" s="41" t="n"/>
      <c r="C208" s="40" t="n"/>
      <c r="D208" s="41" t="n"/>
      <c r="E208" s="30">
        <f>IF($C208="","",IF($B208="YM",IFERROR(INDEX(機種マスタ!$I$4:$I$203,MATCH($C208,機種マスタ!$J$4:$J$203,0)),"未登録"),IFERROR(INDEX(機種マスタ!$A$4:$A$363,MATCH($C208,機種マスタ!$B$4:$B$363,0)),"未登録")))</f>
        <v/>
      </c>
      <c r="F208" s="30">
        <f>IF($C208="","",IF($B208="YM",IFERROR(INDEX(機種マスタ!$K$4:$K$203,MATCH($C208,機種マスタ!$J$4:$J$203,0)),"-"),IFERROR(INDEX(機種マスタ!$C$4:$C$363,MATCH($C208,機種マスタ!$B$4:$B$363,0)),"-")))</f>
        <v/>
      </c>
      <c r="G208" s="30">
        <f>IF($C208="","",IF($B208="YM",IFERROR(N(INDEX(機種マスタ!$L$4:$L$203,MATCH($C208,機種マスタ!$J$4:$J$203,0))),0),IFERROR(N(INDEX(機種マスタ!$D$4:$D$363,MATCH($C208,機種マスタ!$B$4:$B$363,0))),0)))</f>
        <v/>
      </c>
      <c r="H208" s="30">
        <f>IF($C208="","",IF($D208="",1,$D208))</f>
        <v/>
      </c>
      <c r="I208" s="30">
        <f>IF($C208="","",IF(G208&gt;0,(G208+IFERROR(VLOOKUP(F208,機種マスタ!$Q$4:$R$6,2,FALSE),0))*H208,0))</f>
        <v/>
      </c>
    </row>
    <row r="209">
      <c r="A209" s="56" t="n"/>
      <c r="B209" s="41" t="n"/>
      <c r="C209" s="40" t="n"/>
      <c r="D209" s="41" t="n"/>
      <c r="E209" s="30">
        <f>IF($C209="","",IF($B209="YM",IFERROR(INDEX(機種マスタ!$I$4:$I$203,MATCH($C209,機種マスタ!$J$4:$J$203,0)),"未登録"),IFERROR(INDEX(機種マスタ!$A$4:$A$363,MATCH($C209,機種マスタ!$B$4:$B$363,0)),"未登録")))</f>
        <v/>
      </c>
      <c r="F209" s="30">
        <f>IF($C209="","",IF($B209="YM",IFERROR(INDEX(機種マスタ!$K$4:$K$203,MATCH($C209,機種マスタ!$J$4:$J$203,0)),"-"),IFERROR(INDEX(機種マスタ!$C$4:$C$363,MATCH($C209,機種マスタ!$B$4:$B$363,0)),"-")))</f>
        <v/>
      </c>
      <c r="G209" s="30">
        <f>IF($C209="","",IF($B209="YM",IFERROR(N(INDEX(機種マスタ!$L$4:$L$203,MATCH($C209,機種マスタ!$J$4:$J$203,0))),0),IFERROR(N(INDEX(機種マスタ!$D$4:$D$363,MATCH($C209,機種マスタ!$B$4:$B$363,0))),0)))</f>
        <v/>
      </c>
      <c r="H209" s="30">
        <f>IF($C209="","",IF($D209="",1,$D209))</f>
        <v/>
      </c>
      <c r="I209" s="30">
        <f>IF($C209="","",IF(G209&gt;0,(G209+IFERROR(VLOOKUP(F209,機種マスタ!$Q$4:$R$6,2,FALSE),0))*H209,0))</f>
        <v/>
      </c>
    </row>
    <row r="210">
      <c r="A210" s="56" t="n"/>
      <c r="B210" s="41" t="n"/>
      <c r="C210" s="40" t="n"/>
      <c r="D210" s="41" t="n"/>
      <c r="E210" s="30">
        <f>IF($C210="","",IF($B210="YM",IFERROR(INDEX(機種マスタ!$I$4:$I$203,MATCH($C210,機種マスタ!$J$4:$J$203,0)),"未登録"),IFERROR(INDEX(機種マスタ!$A$4:$A$363,MATCH($C210,機種マスタ!$B$4:$B$363,0)),"未登録")))</f>
        <v/>
      </c>
      <c r="F210" s="30">
        <f>IF($C210="","",IF($B210="YM",IFERROR(INDEX(機種マスタ!$K$4:$K$203,MATCH($C210,機種マスタ!$J$4:$J$203,0)),"-"),IFERROR(INDEX(機種マスタ!$C$4:$C$363,MATCH($C210,機種マスタ!$B$4:$B$363,0)),"-")))</f>
        <v/>
      </c>
      <c r="G210" s="30">
        <f>IF($C210="","",IF($B210="YM",IFERROR(N(INDEX(機種マスタ!$L$4:$L$203,MATCH($C210,機種マスタ!$J$4:$J$203,0))),0),IFERROR(N(INDEX(機種マスタ!$D$4:$D$363,MATCH($C210,機種マスタ!$B$4:$B$363,0))),0)))</f>
        <v/>
      </c>
      <c r="H210" s="30">
        <f>IF($C210="","",IF($D210="",1,$D210))</f>
        <v/>
      </c>
      <c r="I210" s="30">
        <f>IF($C210="","",IF(G210&gt;0,(G210+IFERROR(VLOOKUP(F210,機種マスタ!$Q$4:$R$6,2,FALSE),0))*H210,0))</f>
        <v/>
      </c>
    </row>
    <row r="211">
      <c r="A211" s="56" t="n"/>
      <c r="B211" s="41" t="n"/>
      <c r="C211" s="40" t="n"/>
      <c r="D211" s="41" t="n"/>
      <c r="E211" s="30">
        <f>IF($C211="","",IF($B211="YM",IFERROR(INDEX(機種マスタ!$I$4:$I$203,MATCH($C211,機種マスタ!$J$4:$J$203,0)),"未登録"),IFERROR(INDEX(機種マスタ!$A$4:$A$363,MATCH($C211,機種マスタ!$B$4:$B$363,0)),"未登録")))</f>
        <v/>
      </c>
      <c r="F211" s="30">
        <f>IF($C211="","",IF($B211="YM",IFERROR(INDEX(機種マスタ!$K$4:$K$203,MATCH($C211,機種マスタ!$J$4:$J$203,0)),"-"),IFERROR(INDEX(機種マスタ!$C$4:$C$363,MATCH($C211,機種マスタ!$B$4:$B$363,0)),"-")))</f>
        <v/>
      </c>
      <c r="G211" s="30">
        <f>IF($C211="","",IF($B211="YM",IFERROR(N(INDEX(機種マスタ!$L$4:$L$203,MATCH($C211,機種マスタ!$J$4:$J$203,0))),0),IFERROR(N(INDEX(機種マスタ!$D$4:$D$363,MATCH($C211,機種マスタ!$B$4:$B$363,0))),0)))</f>
        <v/>
      </c>
      <c r="H211" s="30">
        <f>IF($C211="","",IF($D211="",1,$D211))</f>
        <v/>
      </c>
      <c r="I211" s="30">
        <f>IF($C211="","",IF(G211&gt;0,(G211+IFERROR(VLOOKUP(F211,機種マスタ!$Q$4:$R$6,2,FALSE),0))*H211,0))</f>
        <v/>
      </c>
    </row>
    <row r="212">
      <c r="A212" s="56" t="n"/>
      <c r="B212" s="41" t="n"/>
      <c r="C212" s="40" t="n"/>
      <c r="D212" s="41" t="n"/>
      <c r="E212" s="30">
        <f>IF($C212="","",IF($B212="YM",IFERROR(INDEX(機種マスタ!$I$4:$I$203,MATCH($C212,機種マスタ!$J$4:$J$203,0)),"未登録"),IFERROR(INDEX(機種マスタ!$A$4:$A$363,MATCH($C212,機種マスタ!$B$4:$B$363,0)),"未登録")))</f>
        <v/>
      </c>
      <c r="F212" s="30">
        <f>IF($C212="","",IF($B212="YM",IFERROR(INDEX(機種マスタ!$K$4:$K$203,MATCH($C212,機種マスタ!$J$4:$J$203,0)),"-"),IFERROR(INDEX(機種マスタ!$C$4:$C$363,MATCH($C212,機種マスタ!$B$4:$B$363,0)),"-")))</f>
        <v/>
      </c>
      <c r="G212" s="30">
        <f>IF($C212="","",IF($B212="YM",IFERROR(N(INDEX(機種マスタ!$L$4:$L$203,MATCH($C212,機種マスタ!$J$4:$J$203,0))),0),IFERROR(N(INDEX(機種マスタ!$D$4:$D$363,MATCH($C212,機種マスタ!$B$4:$B$363,0))),0)))</f>
        <v/>
      </c>
      <c r="H212" s="30">
        <f>IF($C212="","",IF($D212="",1,$D212))</f>
        <v/>
      </c>
      <c r="I212" s="30">
        <f>IF($C212="","",IF(G212&gt;0,(G212+IFERROR(VLOOKUP(F212,機種マスタ!$Q$4:$R$6,2,FALSE),0))*H212,0))</f>
        <v/>
      </c>
    </row>
    <row r="213">
      <c r="A213" s="56" t="n"/>
      <c r="B213" s="41" t="n"/>
      <c r="C213" s="40" t="n"/>
      <c r="D213" s="41" t="n"/>
      <c r="E213" s="30">
        <f>IF($C213="","",IF($B213="YM",IFERROR(INDEX(機種マスタ!$I$4:$I$203,MATCH($C213,機種マスタ!$J$4:$J$203,0)),"未登録"),IFERROR(INDEX(機種マスタ!$A$4:$A$363,MATCH($C213,機種マスタ!$B$4:$B$363,0)),"未登録")))</f>
        <v/>
      </c>
      <c r="F213" s="30">
        <f>IF($C213="","",IF($B213="YM",IFERROR(INDEX(機種マスタ!$K$4:$K$203,MATCH($C213,機種マスタ!$J$4:$J$203,0)),"-"),IFERROR(INDEX(機種マスタ!$C$4:$C$363,MATCH($C213,機種マスタ!$B$4:$B$363,0)),"-")))</f>
        <v/>
      </c>
      <c r="G213" s="30">
        <f>IF($C213="","",IF($B213="YM",IFERROR(N(INDEX(機種マスタ!$L$4:$L$203,MATCH($C213,機種マスタ!$J$4:$J$203,0))),0),IFERROR(N(INDEX(機種マスタ!$D$4:$D$363,MATCH($C213,機種マスタ!$B$4:$B$363,0))),0)))</f>
        <v/>
      </c>
      <c r="H213" s="30">
        <f>IF($C213="","",IF($D213="",1,$D213))</f>
        <v/>
      </c>
      <c r="I213" s="30">
        <f>IF($C213="","",IF(G213&gt;0,(G213+IFERROR(VLOOKUP(F213,機種マスタ!$Q$4:$R$6,2,FALSE),0))*H213,0))</f>
        <v/>
      </c>
    </row>
    <row r="214">
      <c r="A214" s="56" t="n"/>
      <c r="B214" s="41" t="n"/>
      <c r="C214" s="40" t="n"/>
      <c r="D214" s="41" t="n"/>
      <c r="E214" s="30">
        <f>IF($C214="","",IF($B214="YM",IFERROR(INDEX(機種マスタ!$I$4:$I$203,MATCH($C214,機種マスタ!$J$4:$J$203,0)),"未登録"),IFERROR(INDEX(機種マスタ!$A$4:$A$363,MATCH($C214,機種マスタ!$B$4:$B$363,0)),"未登録")))</f>
        <v/>
      </c>
      <c r="F214" s="30">
        <f>IF($C214="","",IF($B214="YM",IFERROR(INDEX(機種マスタ!$K$4:$K$203,MATCH($C214,機種マスタ!$J$4:$J$203,0)),"-"),IFERROR(INDEX(機種マスタ!$C$4:$C$363,MATCH($C214,機種マスタ!$B$4:$B$363,0)),"-")))</f>
        <v/>
      </c>
      <c r="G214" s="30">
        <f>IF($C214="","",IF($B214="YM",IFERROR(N(INDEX(機種マスタ!$L$4:$L$203,MATCH($C214,機種マスタ!$J$4:$J$203,0))),0),IFERROR(N(INDEX(機種マスタ!$D$4:$D$363,MATCH($C214,機種マスタ!$B$4:$B$363,0))),0)))</f>
        <v/>
      </c>
      <c r="H214" s="30">
        <f>IF($C214="","",IF($D214="",1,$D214))</f>
        <v/>
      </c>
      <c r="I214" s="30">
        <f>IF($C214="","",IF(G214&gt;0,(G214+IFERROR(VLOOKUP(F214,機種マスタ!$Q$4:$R$6,2,FALSE),0))*H214,0))</f>
        <v/>
      </c>
    </row>
    <row r="215">
      <c r="A215" s="56" t="n"/>
      <c r="B215" s="41" t="n"/>
      <c r="C215" s="40" t="n"/>
      <c r="D215" s="41" t="n"/>
      <c r="E215" s="30">
        <f>IF($C215="","",IF($B215="YM",IFERROR(INDEX(機種マスタ!$I$4:$I$203,MATCH($C215,機種マスタ!$J$4:$J$203,0)),"未登録"),IFERROR(INDEX(機種マスタ!$A$4:$A$363,MATCH($C215,機種マスタ!$B$4:$B$363,0)),"未登録")))</f>
        <v/>
      </c>
      <c r="F215" s="30">
        <f>IF($C215="","",IF($B215="YM",IFERROR(INDEX(機種マスタ!$K$4:$K$203,MATCH($C215,機種マスタ!$J$4:$J$203,0)),"-"),IFERROR(INDEX(機種マスタ!$C$4:$C$363,MATCH($C215,機種マスタ!$B$4:$B$363,0)),"-")))</f>
        <v/>
      </c>
      <c r="G215" s="30">
        <f>IF($C215="","",IF($B215="YM",IFERROR(N(INDEX(機種マスタ!$L$4:$L$203,MATCH($C215,機種マスタ!$J$4:$J$203,0))),0),IFERROR(N(INDEX(機種マスタ!$D$4:$D$363,MATCH($C215,機種マスタ!$B$4:$B$363,0))),0)))</f>
        <v/>
      </c>
      <c r="H215" s="30">
        <f>IF($C215="","",IF($D215="",1,$D215))</f>
        <v/>
      </c>
      <c r="I215" s="30">
        <f>IF($C215="","",IF(G215&gt;0,(G215+IFERROR(VLOOKUP(F215,機種マスタ!$Q$4:$R$6,2,FALSE),0))*H215,0))</f>
        <v/>
      </c>
    </row>
    <row r="216">
      <c r="A216" s="56" t="n"/>
      <c r="B216" s="41" t="n"/>
      <c r="C216" s="40" t="n"/>
      <c r="D216" s="41" t="n"/>
      <c r="E216" s="30">
        <f>IF($C216="","",IF($B216="YM",IFERROR(INDEX(機種マスタ!$I$4:$I$203,MATCH($C216,機種マスタ!$J$4:$J$203,0)),"未登録"),IFERROR(INDEX(機種マスタ!$A$4:$A$363,MATCH($C216,機種マスタ!$B$4:$B$363,0)),"未登録")))</f>
        <v/>
      </c>
      <c r="F216" s="30">
        <f>IF($C216="","",IF($B216="YM",IFERROR(INDEX(機種マスタ!$K$4:$K$203,MATCH($C216,機種マスタ!$J$4:$J$203,0)),"-"),IFERROR(INDEX(機種マスタ!$C$4:$C$363,MATCH($C216,機種マスタ!$B$4:$B$363,0)),"-")))</f>
        <v/>
      </c>
      <c r="G216" s="30">
        <f>IF($C216="","",IF($B216="YM",IFERROR(N(INDEX(機種マスタ!$L$4:$L$203,MATCH($C216,機種マスタ!$J$4:$J$203,0))),0),IFERROR(N(INDEX(機種マスタ!$D$4:$D$363,MATCH($C216,機種マスタ!$B$4:$B$363,0))),0)))</f>
        <v/>
      </c>
      <c r="H216" s="30">
        <f>IF($C216="","",IF($D216="",1,$D216))</f>
        <v/>
      </c>
      <c r="I216" s="30">
        <f>IF($C216="","",IF(G216&gt;0,(G216+IFERROR(VLOOKUP(F216,機種マスタ!$Q$4:$R$6,2,FALSE),0))*H216,0))</f>
        <v/>
      </c>
    </row>
    <row r="217">
      <c r="A217" s="56" t="n"/>
      <c r="B217" s="41" t="n"/>
      <c r="C217" s="40" t="n"/>
      <c r="D217" s="41" t="n"/>
      <c r="E217" s="30">
        <f>IF($C217="","",IF($B217="YM",IFERROR(INDEX(機種マスタ!$I$4:$I$203,MATCH($C217,機種マスタ!$J$4:$J$203,0)),"未登録"),IFERROR(INDEX(機種マスタ!$A$4:$A$363,MATCH($C217,機種マスタ!$B$4:$B$363,0)),"未登録")))</f>
        <v/>
      </c>
      <c r="F217" s="30">
        <f>IF($C217="","",IF($B217="YM",IFERROR(INDEX(機種マスタ!$K$4:$K$203,MATCH($C217,機種マスタ!$J$4:$J$203,0)),"-"),IFERROR(INDEX(機種マスタ!$C$4:$C$363,MATCH($C217,機種マスタ!$B$4:$B$363,0)),"-")))</f>
        <v/>
      </c>
      <c r="G217" s="30">
        <f>IF($C217="","",IF($B217="YM",IFERROR(N(INDEX(機種マスタ!$L$4:$L$203,MATCH($C217,機種マスタ!$J$4:$J$203,0))),0),IFERROR(N(INDEX(機種マスタ!$D$4:$D$363,MATCH($C217,機種マスタ!$B$4:$B$363,0))),0)))</f>
        <v/>
      </c>
      <c r="H217" s="30">
        <f>IF($C217="","",IF($D217="",1,$D217))</f>
        <v/>
      </c>
      <c r="I217" s="30">
        <f>IF($C217="","",IF(G217&gt;0,(G217+IFERROR(VLOOKUP(F217,機種マスタ!$Q$4:$R$6,2,FALSE),0))*H217,0))</f>
        <v/>
      </c>
    </row>
    <row r="218">
      <c r="A218" s="56" t="n"/>
      <c r="B218" s="41" t="n"/>
      <c r="C218" s="40" t="n"/>
      <c r="D218" s="41" t="n"/>
      <c r="E218" s="30">
        <f>IF($C218="","",IF($B218="YM",IFERROR(INDEX(機種マスタ!$I$4:$I$203,MATCH($C218,機種マスタ!$J$4:$J$203,0)),"未登録"),IFERROR(INDEX(機種マスタ!$A$4:$A$363,MATCH($C218,機種マスタ!$B$4:$B$363,0)),"未登録")))</f>
        <v/>
      </c>
      <c r="F218" s="30">
        <f>IF($C218="","",IF($B218="YM",IFERROR(INDEX(機種マスタ!$K$4:$K$203,MATCH($C218,機種マスタ!$J$4:$J$203,0)),"-"),IFERROR(INDEX(機種マスタ!$C$4:$C$363,MATCH($C218,機種マスタ!$B$4:$B$363,0)),"-")))</f>
        <v/>
      </c>
      <c r="G218" s="30">
        <f>IF($C218="","",IF($B218="YM",IFERROR(N(INDEX(機種マスタ!$L$4:$L$203,MATCH($C218,機種マスタ!$J$4:$J$203,0))),0),IFERROR(N(INDEX(機種マスタ!$D$4:$D$363,MATCH($C218,機種マスタ!$B$4:$B$363,0))),0)))</f>
        <v/>
      </c>
      <c r="H218" s="30">
        <f>IF($C218="","",IF($D218="",1,$D218))</f>
        <v/>
      </c>
      <c r="I218" s="30">
        <f>IF($C218="","",IF(G218&gt;0,(G218+IFERROR(VLOOKUP(F218,機種マスタ!$Q$4:$R$6,2,FALSE),0))*H218,0))</f>
        <v/>
      </c>
    </row>
    <row r="219">
      <c r="A219" s="56" t="n"/>
      <c r="B219" s="41" t="n"/>
      <c r="C219" s="40" t="n"/>
      <c r="D219" s="41" t="n"/>
      <c r="E219" s="30">
        <f>IF($C219="","",IF($B219="YM",IFERROR(INDEX(機種マスタ!$I$4:$I$203,MATCH($C219,機種マスタ!$J$4:$J$203,0)),"未登録"),IFERROR(INDEX(機種マスタ!$A$4:$A$363,MATCH($C219,機種マスタ!$B$4:$B$363,0)),"未登録")))</f>
        <v/>
      </c>
      <c r="F219" s="30">
        <f>IF($C219="","",IF($B219="YM",IFERROR(INDEX(機種マスタ!$K$4:$K$203,MATCH($C219,機種マスタ!$J$4:$J$203,0)),"-"),IFERROR(INDEX(機種マスタ!$C$4:$C$363,MATCH($C219,機種マスタ!$B$4:$B$363,0)),"-")))</f>
        <v/>
      </c>
      <c r="G219" s="30">
        <f>IF($C219="","",IF($B219="YM",IFERROR(N(INDEX(機種マスタ!$L$4:$L$203,MATCH($C219,機種マスタ!$J$4:$J$203,0))),0),IFERROR(N(INDEX(機種マスタ!$D$4:$D$363,MATCH($C219,機種マスタ!$B$4:$B$363,0))),0)))</f>
        <v/>
      </c>
      <c r="H219" s="30">
        <f>IF($C219="","",IF($D219="",1,$D219))</f>
        <v/>
      </c>
      <c r="I219" s="30">
        <f>IF($C219="","",IF(G219&gt;0,(G219+IFERROR(VLOOKUP(F219,機種マスタ!$Q$4:$R$6,2,FALSE),0))*H219,0))</f>
        <v/>
      </c>
    </row>
    <row r="220">
      <c r="A220" s="56" t="n"/>
      <c r="B220" s="41" t="n"/>
      <c r="C220" s="40" t="n"/>
      <c r="D220" s="41" t="n"/>
      <c r="E220" s="30">
        <f>IF($C220="","",IF($B220="YM",IFERROR(INDEX(機種マスタ!$I$4:$I$203,MATCH($C220,機種マスタ!$J$4:$J$203,0)),"未登録"),IFERROR(INDEX(機種マスタ!$A$4:$A$363,MATCH($C220,機種マスタ!$B$4:$B$363,0)),"未登録")))</f>
        <v/>
      </c>
      <c r="F220" s="30">
        <f>IF($C220="","",IF($B220="YM",IFERROR(INDEX(機種マスタ!$K$4:$K$203,MATCH($C220,機種マスタ!$J$4:$J$203,0)),"-"),IFERROR(INDEX(機種マスタ!$C$4:$C$363,MATCH($C220,機種マスタ!$B$4:$B$363,0)),"-")))</f>
        <v/>
      </c>
      <c r="G220" s="30">
        <f>IF($C220="","",IF($B220="YM",IFERROR(N(INDEX(機種マスタ!$L$4:$L$203,MATCH($C220,機種マスタ!$J$4:$J$203,0))),0),IFERROR(N(INDEX(機種マスタ!$D$4:$D$363,MATCH($C220,機種マスタ!$B$4:$B$363,0))),0)))</f>
        <v/>
      </c>
      <c r="H220" s="30">
        <f>IF($C220="","",IF($D220="",1,$D220))</f>
        <v/>
      </c>
      <c r="I220" s="30">
        <f>IF($C220="","",IF(G220&gt;0,(G220+IFERROR(VLOOKUP(F220,機種マスタ!$Q$4:$R$6,2,FALSE),0))*H220,0))</f>
        <v/>
      </c>
    </row>
    <row r="221">
      <c r="A221" s="56" t="n"/>
      <c r="B221" s="41" t="n"/>
      <c r="C221" s="40" t="n"/>
      <c r="D221" s="41" t="n"/>
      <c r="E221" s="30">
        <f>IF($C221="","",IF($B221="YM",IFERROR(INDEX(機種マスタ!$I$4:$I$203,MATCH($C221,機種マスタ!$J$4:$J$203,0)),"未登録"),IFERROR(INDEX(機種マスタ!$A$4:$A$363,MATCH($C221,機種マスタ!$B$4:$B$363,0)),"未登録")))</f>
        <v/>
      </c>
      <c r="F221" s="30">
        <f>IF($C221="","",IF($B221="YM",IFERROR(INDEX(機種マスタ!$K$4:$K$203,MATCH($C221,機種マスタ!$J$4:$J$203,0)),"-"),IFERROR(INDEX(機種マスタ!$C$4:$C$363,MATCH($C221,機種マスタ!$B$4:$B$363,0)),"-")))</f>
        <v/>
      </c>
      <c r="G221" s="30">
        <f>IF($C221="","",IF($B221="YM",IFERROR(N(INDEX(機種マスタ!$L$4:$L$203,MATCH($C221,機種マスタ!$J$4:$J$203,0))),0),IFERROR(N(INDEX(機種マスタ!$D$4:$D$363,MATCH($C221,機種マスタ!$B$4:$B$363,0))),0)))</f>
        <v/>
      </c>
      <c r="H221" s="30">
        <f>IF($C221="","",IF($D221="",1,$D221))</f>
        <v/>
      </c>
      <c r="I221" s="30">
        <f>IF($C221="","",IF(G221&gt;0,(G221+IFERROR(VLOOKUP(F221,機種マスタ!$Q$4:$R$6,2,FALSE),0))*H221,0))</f>
        <v/>
      </c>
    </row>
    <row r="222">
      <c r="A222" s="56" t="n"/>
      <c r="B222" s="41" t="n"/>
      <c r="C222" s="40" t="n"/>
      <c r="D222" s="41" t="n"/>
      <c r="E222" s="30">
        <f>IF($C222="","",IF($B222="YM",IFERROR(INDEX(機種マスタ!$I$4:$I$203,MATCH($C222,機種マスタ!$J$4:$J$203,0)),"未登録"),IFERROR(INDEX(機種マスタ!$A$4:$A$363,MATCH($C222,機種マスタ!$B$4:$B$363,0)),"未登録")))</f>
        <v/>
      </c>
      <c r="F222" s="30">
        <f>IF($C222="","",IF($B222="YM",IFERROR(INDEX(機種マスタ!$K$4:$K$203,MATCH($C222,機種マスタ!$J$4:$J$203,0)),"-"),IFERROR(INDEX(機種マスタ!$C$4:$C$363,MATCH($C222,機種マスタ!$B$4:$B$363,0)),"-")))</f>
        <v/>
      </c>
      <c r="G222" s="30">
        <f>IF($C222="","",IF($B222="YM",IFERROR(N(INDEX(機種マスタ!$L$4:$L$203,MATCH($C222,機種マスタ!$J$4:$J$203,0))),0),IFERROR(N(INDEX(機種マスタ!$D$4:$D$363,MATCH($C222,機種マスタ!$B$4:$B$363,0))),0)))</f>
        <v/>
      </c>
      <c r="H222" s="30">
        <f>IF($C222="","",IF($D222="",1,$D222))</f>
        <v/>
      </c>
      <c r="I222" s="30">
        <f>IF($C222="","",IF(G222&gt;0,(G222+IFERROR(VLOOKUP(F222,機種マスタ!$Q$4:$R$6,2,FALSE),0))*H222,0))</f>
        <v/>
      </c>
    </row>
    <row r="223">
      <c r="A223" s="56" t="n"/>
      <c r="B223" s="41" t="n"/>
      <c r="C223" s="40" t="n"/>
      <c r="D223" s="41" t="n"/>
      <c r="E223" s="30">
        <f>IF($C223="","",IF($B223="YM",IFERROR(INDEX(機種マスタ!$I$4:$I$203,MATCH($C223,機種マスタ!$J$4:$J$203,0)),"未登録"),IFERROR(INDEX(機種マスタ!$A$4:$A$363,MATCH($C223,機種マスタ!$B$4:$B$363,0)),"未登録")))</f>
        <v/>
      </c>
      <c r="F223" s="30">
        <f>IF($C223="","",IF($B223="YM",IFERROR(INDEX(機種マスタ!$K$4:$K$203,MATCH($C223,機種マスタ!$J$4:$J$203,0)),"-"),IFERROR(INDEX(機種マスタ!$C$4:$C$363,MATCH($C223,機種マスタ!$B$4:$B$363,0)),"-")))</f>
        <v/>
      </c>
      <c r="G223" s="30">
        <f>IF($C223="","",IF($B223="YM",IFERROR(N(INDEX(機種マスタ!$L$4:$L$203,MATCH($C223,機種マスタ!$J$4:$J$203,0))),0),IFERROR(N(INDEX(機種マスタ!$D$4:$D$363,MATCH($C223,機種マスタ!$B$4:$B$363,0))),0)))</f>
        <v/>
      </c>
      <c r="H223" s="30">
        <f>IF($C223="","",IF($D223="",1,$D223))</f>
        <v/>
      </c>
      <c r="I223" s="30">
        <f>IF($C223="","",IF(G223&gt;0,(G223+IFERROR(VLOOKUP(F223,機種マスタ!$Q$4:$R$6,2,FALSE),0))*H223,0))</f>
        <v/>
      </c>
    </row>
    <row r="224">
      <c r="A224" s="56" t="n"/>
      <c r="B224" s="41" t="n"/>
      <c r="C224" s="40" t="n"/>
      <c r="D224" s="41" t="n"/>
      <c r="E224" s="30">
        <f>IF($C224="","",IF($B224="YM",IFERROR(INDEX(機種マスタ!$I$4:$I$203,MATCH($C224,機種マスタ!$J$4:$J$203,0)),"未登録"),IFERROR(INDEX(機種マスタ!$A$4:$A$363,MATCH($C224,機種マスタ!$B$4:$B$363,0)),"未登録")))</f>
        <v/>
      </c>
      <c r="F224" s="30">
        <f>IF($C224="","",IF($B224="YM",IFERROR(INDEX(機種マスタ!$K$4:$K$203,MATCH($C224,機種マスタ!$J$4:$J$203,0)),"-"),IFERROR(INDEX(機種マスタ!$C$4:$C$363,MATCH($C224,機種マスタ!$B$4:$B$363,0)),"-")))</f>
        <v/>
      </c>
      <c r="G224" s="30">
        <f>IF($C224="","",IF($B224="YM",IFERROR(N(INDEX(機種マスタ!$L$4:$L$203,MATCH($C224,機種マスタ!$J$4:$J$203,0))),0),IFERROR(N(INDEX(機種マスタ!$D$4:$D$363,MATCH($C224,機種マスタ!$B$4:$B$363,0))),0)))</f>
        <v/>
      </c>
      <c r="H224" s="30">
        <f>IF($C224="","",IF($D224="",1,$D224))</f>
        <v/>
      </c>
      <c r="I224" s="30">
        <f>IF($C224="","",IF(G224&gt;0,(G224+IFERROR(VLOOKUP(F224,機種マスタ!$Q$4:$R$6,2,FALSE),0))*H224,0))</f>
        <v/>
      </c>
    </row>
    <row r="225">
      <c r="A225" s="56" t="n"/>
      <c r="B225" s="41" t="n"/>
      <c r="C225" s="40" t="n"/>
      <c r="D225" s="41" t="n"/>
      <c r="E225" s="30">
        <f>IF($C225="","",IF($B225="YM",IFERROR(INDEX(機種マスタ!$I$4:$I$203,MATCH($C225,機種マスタ!$J$4:$J$203,0)),"未登録"),IFERROR(INDEX(機種マスタ!$A$4:$A$363,MATCH($C225,機種マスタ!$B$4:$B$363,0)),"未登録")))</f>
        <v/>
      </c>
      <c r="F225" s="30">
        <f>IF($C225="","",IF($B225="YM",IFERROR(INDEX(機種マスタ!$K$4:$K$203,MATCH($C225,機種マスタ!$J$4:$J$203,0)),"-"),IFERROR(INDEX(機種マスタ!$C$4:$C$363,MATCH($C225,機種マスタ!$B$4:$B$363,0)),"-")))</f>
        <v/>
      </c>
      <c r="G225" s="30">
        <f>IF($C225="","",IF($B225="YM",IFERROR(N(INDEX(機種マスタ!$L$4:$L$203,MATCH($C225,機種マスタ!$J$4:$J$203,0))),0),IFERROR(N(INDEX(機種マスタ!$D$4:$D$363,MATCH($C225,機種マスタ!$B$4:$B$363,0))),0)))</f>
        <v/>
      </c>
      <c r="H225" s="30">
        <f>IF($C225="","",IF($D225="",1,$D225))</f>
        <v/>
      </c>
      <c r="I225" s="30">
        <f>IF($C225="","",IF(G225&gt;0,(G225+IFERROR(VLOOKUP(F225,機種マスタ!$Q$4:$R$6,2,FALSE),0))*H225,0))</f>
        <v/>
      </c>
    </row>
    <row r="226">
      <c r="A226" s="56" t="n"/>
      <c r="B226" s="41" t="n"/>
      <c r="C226" s="40" t="n"/>
      <c r="D226" s="41" t="n"/>
      <c r="E226" s="30">
        <f>IF($C226="","",IF($B226="YM",IFERROR(INDEX(機種マスタ!$I$4:$I$203,MATCH($C226,機種マスタ!$J$4:$J$203,0)),"未登録"),IFERROR(INDEX(機種マスタ!$A$4:$A$363,MATCH($C226,機種マスタ!$B$4:$B$363,0)),"未登録")))</f>
        <v/>
      </c>
      <c r="F226" s="30">
        <f>IF($C226="","",IF($B226="YM",IFERROR(INDEX(機種マスタ!$K$4:$K$203,MATCH($C226,機種マスタ!$J$4:$J$203,0)),"-"),IFERROR(INDEX(機種マスタ!$C$4:$C$363,MATCH($C226,機種マスタ!$B$4:$B$363,0)),"-")))</f>
        <v/>
      </c>
      <c r="G226" s="30">
        <f>IF($C226="","",IF($B226="YM",IFERROR(N(INDEX(機種マスタ!$L$4:$L$203,MATCH($C226,機種マスタ!$J$4:$J$203,0))),0),IFERROR(N(INDEX(機種マスタ!$D$4:$D$363,MATCH($C226,機種マスタ!$B$4:$B$363,0))),0)))</f>
        <v/>
      </c>
      <c r="H226" s="30">
        <f>IF($C226="","",IF($D226="",1,$D226))</f>
        <v/>
      </c>
      <c r="I226" s="30">
        <f>IF($C226="","",IF(G226&gt;0,(G226+IFERROR(VLOOKUP(F226,機種マスタ!$Q$4:$R$6,2,FALSE),0))*H226,0))</f>
        <v/>
      </c>
    </row>
    <row r="227">
      <c r="A227" s="56" t="n"/>
      <c r="B227" s="41" t="n"/>
      <c r="C227" s="40" t="n"/>
      <c r="D227" s="41" t="n"/>
      <c r="E227" s="30">
        <f>IF($C227="","",IF($B227="YM",IFERROR(INDEX(機種マスタ!$I$4:$I$203,MATCH($C227,機種マスタ!$J$4:$J$203,0)),"未登録"),IFERROR(INDEX(機種マスタ!$A$4:$A$363,MATCH($C227,機種マスタ!$B$4:$B$363,0)),"未登録")))</f>
        <v/>
      </c>
      <c r="F227" s="30">
        <f>IF($C227="","",IF($B227="YM",IFERROR(INDEX(機種マスタ!$K$4:$K$203,MATCH($C227,機種マスタ!$J$4:$J$203,0)),"-"),IFERROR(INDEX(機種マスタ!$C$4:$C$363,MATCH($C227,機種マスタ!$B$4:$B$363,0)),"-")))</f>
        <v/>
      </c>
      <c r="G227" s="30">
        <f>IF($C227="","",IF($B227="YM",IFERROR(N(INDEX(機種マスタ!$L$4:$L$203,MATCH($C227,機種マスタ!$J$4:$J$203,0))),0),IFERROR(N(INDEX(機種マスタ!$D$4:$D$363,MATCH($C227,機種マスタ!$B$4:$B$363,0))),0)))</f>
        <v/>
      </c>
      <c r="H227" s="30">
        <f>IF($C227="","",IF($D227="",1,$D227))</f>
        <v/>
      </c>
      <c r="I227" s="30">
        <f>IF($C227="","",IF(G227&gt;0,(G227+IFERROR(VLOOKUP(F227,機種マスタ!$Q$4:$R$6,2,FALSE),0))*H227,0))</f>
        <v/>
      </c>
    </row>
    <row r="228">
      <c r="A228" s="56" t="n"/>
      <c r="B228" s="41" t="n"/>
      <c r="C228" s="40" t="n"/>
      <c r="D228" s="41" t="n"/>
      <c r="E228" s="30">
        <f>IF($C228="","",IF($B228="YM",IFERROR(INDEX(機種マスタ!$I$4:$I$203,MATCH($C228,機種マスタ!$J$4:$J$203,0)),"未登録"),IFERROR(INDEX(機種マスタ!$A$4:$A$363,MATCH($C228,機種マスタ!$B$4:$B$363,0)),"未登録")))</f>
        <v/>
      </c>
      <c r="F228" s="30">
        <f>IF($C228="","",IF($B228="YM",IFERROR(INDEX(機種マスタ!$K$4:$K$203,MATCH($C228,機種マスタ!$J$4:$J$203,0)),"-"),IFERROR(INDEX(機種マスタ!$C$4:$C$363,MATCH($C228,機種マスタ!$B$4:$B$363,0)),"-")))</f>
        <v/>
      </c>
      <c r="G228" s="30">
        <f>IF($C228="","",IF($B228="YM",IFERROR(N(INDEX(機種マスタ!$L$4:$L$203,MATCH($C228,機種マスタ!$J$4:$J$203,0))),0),IFERROR(N(INDEX(機種マスタ!$D$4:$D$363,MATCH($C228,機種マスタ!$B$4:$B$363,0))),0)))</f>
        <v/>
      </c>
      <c r="H228" s="30">
        <f>IF($C228="","",IF($D228="",1,$D228))</f>
        <v/>
      </c>
      <c r="I228" s="30">
        <f>IF($C228="","",IF(G228&gt;0,(G228+IFERROR(VLOOKUP(F228,機種マスタ!$Q$4:$R$6,2,FALSE),0))*H228,0))</f>
        <v/>
      </c>
    </row>
    <row r="229">
      <c r="A229" s="56" t="n"/>
      <c r="B229" s="41" t="n"/>
      <c r="C229" s="40" t="n"/>
      <c r="D229" s="41" t="n"/>
      <c r="E229" s="30">
        <f>IF($C229="","",IF($B229="YM",IFERROR(INDEX(機種マスタ!$I$4:$I$203,MATCH($C229,機種マスタ!$J$4:$J$203,0)),"未登録"),IFERROR(INDEX(機種マスタ!$A$4:$A$363,MATCH($C229,機種マスタ!$B$4:$B$363,0)),"未登録")))</f>
        <v/>
      </c>
      <c r="F229" s="30">
        <f>IF($C229="","",IF($B229="YM",IFERROR(INDEX(機種マスタ!$K$4:$K$203,MATCH($C229,機種マスタ!$J$4:$J$203,0)),"-"),IFERROR(INDEX(機種マスタ!$C$4:$C$363,MATCH($C229,機種マスタ!$B$4:$B$363,0)),"-")))</f>
        <v/>
      </c>
      <c r="G229" s="30">
        <f>IF($C229="","",IF($B229="YM",IFERROR(N(INDEX(機種マスタ!$L$4:$L$203,MATCH($C229,機種マスタ!$J$4:$J$203,0))),0),IFERROR(N(INDEX(機種マスタ!$D$4:$D$363,MATCH($C229,機種マスタ!$B$4:$B$363,0))),0)))</f>
        <v/>
      </c>
      <c r="H229" s="30">
        <f>IF($C229="","",IF($D229="",1,$D229))</f>
        <v/>
      </c>
      <c r="I229" s="30">
        <f>IF($C229="","",IF(G229&gt;0,(G229+IFERROR(VLOOKUP(F229,機種マスタ!$Q$4:$R$6,2,FALSE),0))*H229,0))</f>
        <v/>
      </c>
    </row>
    <row r="230">
      <c r="A230" s="56" t="n"/>
      <c r="B230" s="41" t="n"/>
      <c r="C230" s="40" t="n"/>
      <c r="D230" s="41" t="n"/>
      <c r="E230" s="30">
        <f>IF($C230="","",IF($B230="YM",IFERROR(INDEX(機種マスタ!$I$4:$I$203,MATCH($C230,機種マスタ!$J$4:$J$203,0)),"未登録"),IFERROR(INDEX(機種マスタ!$A$4:$A$363,MATCH($C230,機種マスタ!$B$4:$B$363,0)),"未登録")))</f>
        <v/>
      </c>
      <c r="F230" s="30">
        <f>IF($C230="","",IF($B230="YM",IFERROR(INDEX(機種マスタ!$K$4:$K$203,MATCH($C230,機種マスタ!$J$4:$J$203,0)),"-"),IFERROR(INDEX(機種マスタ!$C$4:$C$363,MATCH($C230,機種マスタ!$B$4:$B$363,0)),"-")))</f>
        <v/>
      </c>
      <c r="G230" s="30">
        <f>IF($C230="","",IF($B230="YM",IFERROR(N(INDEX(機種マスタ!$L$4:$L$203,MATCH($C230,機種マスタ!$J$4:$J$203,0))),0),IFERROR(N(INDEX(機種マスタ!$D$4:$D$363,MATCH($C230,機種マスタ!$B$4:$B$363,0))),0)))</f>
        <v/>
      </c>
      <c r="H230" s="30">
        <f>IF($C230="","",IF($D230="",1,$D230))</f>
        <v/>
      </c>
      <c r="I230" s="30">
        <f>IF($C230="","",IF(G230&gt;0,(G230+IFERROR(VLOOKUP(F230,機種マスタ!$Q$4:$R$6,2,FALSE),0))*H230,0))</f>
        <v/>
      </c>
    </row>
    <row r="231">
      <c r="A231" s="56" t="n"/>
      <c r="B231" s="41" t="n"/>
      <c r="C231" s="40" t="n"/>
      <c r="D231" s="41" t="n"/>
      <c r="E231" s="30">
        <f>IF($C231="","",IF($B231="YM",IFERROR(INDEX(機種マスタ!$I$4:$I$203,MATCH($C231,機種マスタ!$J$4:$J$203,0)),"未登録"),IFERROR(INDEX(機種マスタ!$A$4:$A$363,MATCH($C231,機種マスタ!$B$4:$B$363,0)),"未登録")))</f>
        <v/>
      </c>
      <c r="F231" s="30">
        <f>IF($C231="","",IF($B231="YM",IFERROR(INDEX(機種マスタ!$K$4:$K$203,MATCH($C231,機種マスタ!$J$4:$J$203,0)),"-"),IFERROR(INDEX(機種マスタ!$C$4:$C$363,MATCH($C231,機種マスタ!$B$4:$B$363,0)),"-")))</f>
        <v/>
      </c>
      <c r="G231" s="30">
        <f>IF($C231="","",IF($B231="YM",IFERROR(N(INDEX(機種マスタ!$L$4:$L$203,MATCH($C231,機種マスタ!$J$4:$J$203,0))),0),IFERROR(N(INDEX(機種マスタ!$D$4:$D$363,MATCH($C231,機種マスタ!$B$4:$B$363,0))),0)))</f>
        <v/>
      </c>
      <c r="H231" s="30">
        <f>IF($C231="","",IF($D231="",1,$D231))</f>
        <v/>
      </c>
      <c r="I231" s="30">
        <f>IF($C231="","",IF(G231&gt;0,(G231+IFERROR(VLOOKUP(F231,機種マスタ!$Q$4:$R$6,2,FALSE),0))*H231,0))</f>
        <v/>
      </c>
    </row>
    <row r="232">
      <c r="A232" s="56" t="n"/>
      <c r="B232" s="41" t="n"/>
      <c r="C232" s="40" t="n"/>
      <c r="D232" s="41" t="n"/>
      <c r="E232" s="30">
        <f>IF($C232="","",IF($B232="YM",IFERROR(INDEX(機種マスタ!$I$4:$I$203,MATCH($C232,機種マスタ!$J$4:$J$203,0)),"未登録"),IFERROR(INDEX(機種マスタ!$A$4:$A$363,MATCH($C232,機種マスタ!$B$4:$B$363,0)),"未登録")))</f>
        <v/>
      </c>
      <c r="F232" s="30">
        <f>IF($C232="","",IF($B232="YM",IFERROR(INDEX(機種マスタ!$K$4:$K$203,MATCH($C232,機種マスタ!$J$4:$J$203,0)),"-"),IFERROR(INDEX(機種マスタ!$C$4:$C$363,MATCH($C232,機種マスタ!$B$4:$B$363,0)),"-")))</f>
        <v/>
      </c>
      <c r="G232" s="30">
        <f>IF($C232="","",IF($B232="YM",IFERROR(N(INDEX(機種マスタ!$L$4:$L$203,MATCH($C232,機種マスタ!$J$4:$J$203,0))),0),IFERROR(N(INDEX(機種マスタ!$D$4:$D$363,MATCH($C232,機種マスタ!$B$4:$B$363,0))),0)))</f>
        <v/>
      </c>
      <c r="H232" s="30">
        <f>IF($C232="","",IF($D232="",1,$D232))</f>
        <v/>
      </c>
      <c r="I232" s="30">
        <f>IF($C232="","",IF(G232&gt;0,(G232+IFERROR(VLOOKUP(F232,機種マスタ!$Q$4:$R$6,2,FALSE),0))*H232,0))</f>
        <v/>
      </c>
    </row>
    <row r="233">
      <c r="A233" s="56" t="n"/>
      <c r="B233" s="41" t="n"/>
      <c r="C233" s="40" t="n"/>
      <c r="D233" s="41" t="n"/>
      <c r="E233" s="30">
        <f>IF($C233="","",IF($B233="YM",IFERROR(INDEX(機種マスタ!$I$4:$I$203,MATCH($C233,機種マスタ!$J$4:$J$203,0)),"未登録"),IFERROR(INDEX(機種マスタ!$A$4:$A$363,MATCH($C233,機種マスタ!$B$4:$B$363,0)),"未登録")))</f>
        <v/>
      </c>
      <c r="F233" s="30">
        <f>IF($C233="","",IF($B233="YM",IFERROR(INDEX(機種マスタ!$K$4:$K$203,MATCH($C233,機種マスタ!$J$4:$J$203,0)),"-"),IFERROR(INDEX(機種マスタ!$C$4:$C$363,MATCH($C233,機種マスタ!$B$4:$B$363,0)),"-")))</f>
        <v/>
      </c>
      <c r="G233" s="30">
        <f>IF($C233="","",IF($B233="YM",IFERROR(N(INDEX(機種マスタ!$L$4:$L$203,MATCH($C233,機種マスタ!$J$4:$J$203,0))),0),IFERROR(N(INDEX(機種マスタ!$D$4:$D$363,MATCH($C233,機種マスタ!$B$4:$B$363,0))),0)))</f>
        <v/>
      </c>
      <c r="H233" s="30">
        <f>IF($C233="","",IF($D233="",1,$D233))</f>
        <v/>
      </c>
      <c r="I233" s="30">
        <f>IF($C233="","",IF(G233&gt;0,(G233+IFERROR(VLOOKUP(F233,機種マスタ!$Q$4:$R$6,2,FALSE),0))*H233,0))</f>
        <v/>
      </c>
    </row>
    <row r="234">
      <c r="A234" s="56" t="n"/>
      <c r="B234" s="41" t="n"/>
      <c r="C234" s="40" t="n"/>
      <c r="D234" s="41" t="n"/>
      <c r="E234" s="30">
        <f>IF($C234="","",IF($B234="YM",IFERROR(INDEX(機種マスタ!$I$4:$I$203,MATCH($C234,機種マスタ!$J$4:$J$203,0)),"未登録"),IFERROR(INDEX(機種マスタ!$A$4:$A$363,MATCH($C234,機種マスタ!$B$4:$B$363,0)),"未登録")))</f>
        <v/>
      </c>
      <c r="F234" s="30">
        <f>IF($C234="","",IF($B234="YM",IFERROR(INDEX(機種マスタ!$K$4:$K$203,MATCH($C234,機種マスタ!$J$4:$J$203,0)),"-"),IFERROR(INDEX(機種マスタ!$C$4:$C$363,MATCH($C234,機種マスタ!$B$4:$B$363,0)),"-")))</f>
        <v/>
      </c>
      <c r="G234" s="30">
        <f>IF($C234="","",IF($B234="YM",IFERROR(N(INDEX(機種マスタ!$L$4:$L$203,MATCH($C234,機種マスタ!$J$4:$J$203,0))),0),IFERROR(N(INDEX(機種マスタ!$D$4:$D$363,MATCH($C234,機種マスタ!$B$4:$B$363,0))),0)))</f>
        <v/>
      </c>
      <c r="H234" s="30">
        <f>IF($C234="","",IF($D234="",1,$D234))</f>
        <v/>
      </c>
      <c r="I234" s="30">
        <f>IF($C234="","",IF(G234&gt;0,(G234+IFERROR(VLOOKUP(F234,機種マスタ!$Q$4:$R$6,2,FALSE),0))*H234,0))</f>
        <v/>
      </c>
    </row>
    <row r="235">
      <c r="A235" s="56" t="n"/>
      <c r="B235" s="41" t="n"/>
      <c r="C235" s="40" t="n"/>
      <c r="D235" s="41" t="n"/>
      <c r="E235" s="30">
        <f>IF($C235="","",IF($B235="YM",IFERROR(INDEX(機種マスタ!$I$4:$I$203,MATCH($C235,機種マスタ!$J$4:$J$203,0)),"未登録"),IFERROR(INDEX(機種マスタ!$A$4:$A$363,MATCH($C235,機種マスタ!$B$4:$B$363,0)),"未登録")))</f>
        <v/>
      </c>
      <c r="F235" s="30">
        <f>IF($C235="","",IF($B235="YM",IFERROR(INDEX(機種マスタ!$K$4:$K$203,MATCH($C235,機種マスタ!$J$4:$J$203,0)),"-"),IFERROR(INDEX(機種マスタ!$C$4:$C$363,MATCH($C235,機種マスタ!$B$4:$B$363,0)),"-")))</f>
        <v/>
      </c>
      <c r="G235" s="30">
        <f>IF($C235="","",IF($B235="YM",IFERROR(N(INDEX(機種マスタ!$L$4:$L$203,MATCH($C235,機種マスタ!$J$4:$J$203,0))),0),IFERROR(N(INDEX(機種マスタ!$D$4:$D$363,MATCH($C235,機種マスタ!$B$4:$B$363,0))),0)))</f>
        <v/>
      </c>
      <c r="H235" s="30">
        <f>IF($C235="","",IF($D235="",1,$D235))</f>
        <v/>
      </c>
      <c r="I235" s="30">
        <f>IF($C235="","",IF(G235&gt;0,(G235+IFERROR(VLOOKUP(F235,機種マスタ!$Q$4:$R$6,2,FALSE),0))*H235,0))</f>
        <v/>
      </c>
    </row>
    <row r="236">
      <c r="A236" s="56" t="n"/>
      <c r="B236" s="41" t="n"/>
      <c r="C236" s="40" t="n"/>
      <c r="D236" s="41" t="n"/>
      <c r="E236" s="30">
        <f>IF($C236="","",IF($B236="YM",IFERROR(INDEX(機種マスタ!$I$4:$I$203,MATCH($C236,機種マスタ!$J$4:$J$203,0)),"未登録"),IFERROR(INDEX(機種マスタ!$A$4:$A$363,MATCH($C236,機種マスタ!$B$4:$B$363,0)),"未登録")))</f>
        <v/>
      </c>
      <c r="F236" s="30">
        <f>IF($C236="","",IF($B236="YM",IFERROR(INDEX(機種マスタ!$K$4:$K$203,MATCH($C236,機種マスタ!$J$4:$J$203,0)),"-"),IFERROR(INDEX(機種マスタ!$C$4:$C$363,MATCH($C236,機種マスタ!$B$4:$B$363,0)),"-")))</f>
        <v/>
      </c>
      <c r="G236" s="30">
        <f>IF($C236="","",IF($B236="YM",IFERROR(N(INDEX(機種マスタ!$L$4:$L$203,MATCH($C236,機種マスタ!$J$4:$J$203,0))),0),IFERROR(N(INDEX(機種マスタ!$D$4:$D$363,MATCH($C236,機種マスタ!$B$4:$B$363,0))),0)))</f>
        <v/>
      </c>
      <c r="H236" s="30">
        <f>IF($C236="","",IF($D236="",1,$D236))</f>
        <v/>
      </c>
      <c r="I236" s="30">
        <f>IF($C236="","",IF(G236&gt;0,(G236+IFERROR(VLOOKUP(F236,機種マスタ!$Q$4:$R$6,2,FALSE),0))*H236,0))</f>
        <v/>
      </c>
    </row>
    <row r="237">
      <c r="A237" s="56" t="n"/>
      <c r="B237" s="41" t="n"/>
      <c r="C237" s="40" t="n"/>
      <c r="D237" s="41" t="n"/>
      <c r="E237" s="30">
        <f>IF($C237="","",IF($B237="YM",IFERROR(INDEX(機種マスタ!$I$4:$I$203,MATCH($C237,機種マスタ!$J$4:$J$203,0)),"未登録"),IFERROR(INDEX(機種マスタ!$A$4:$A$363,MATCH($C237,機種マスタ!$B$4:$B$363,0)),"未登録")))</f>
        <v/>
      </c>
      <c r="F237" s="30">
        <f>IF($C237="","",IF($B237="YM",IFERROR(INDEX(機種マスタ!$K$4:$K$203,MATCH($C237,機種マスタ!$J$4:$J$203,0)),"-"),IFERROR(INDEX(機種マスタ!$C$4:$C$363,MATCH($C237,機種マスタ!$B$4:$B$363,0)),"-")))</f>
        <v/>
      </c>
      <c r="G237" s="30">
        <f>IF($C237="","",IF($B237="YM",IFERROR(N(INDEX(機種マスタ!$L$4:$L$203,MATCH($C237,機種マスタ!$J$4:$J$203,0))),0),IFERROR(N(INDEX(機種マスタ!$D$4:$D$363,MATCH($C237,機種マスタ!$B$4:$B$363,0))),0)))</f>
        <v/>
      </c>
      <c r="H237" s="30">
        <f>IF($C237="","",IF($D237="",1,$D237))</f>
        <v/>
      </c>
      <c r="I237" s="30">
        <f>IF($C237="","",IF(G237&gt;0,(G237+IFERROR(VLOOKUP(F237,機種マスタ!$Q$4:$R$6,2,FALSE),0))*H237,0))</f>
        <v/>
      </c>
    </row>
    <row r="238">
      <c r="A238" s="56" t="n"/>
      <c r="B238" s="41" t="n"/>
      <c r="C238" s="40" t="n"/>
      <c r="D238" s="41" t="n"/>
      <c r="E238" s="30">
        <f>IF($C238="","",IF($B238="YM",IFERROR(INDEX(機種マスタ!$I$4:$I$203,MATCH($C238,機種マスタ!$J$4:$J$203,0)),"未登録"),IFERROR(INDEX(機種マスタ!$A$4:$A$363,MATCH($C238,機種マスタ!$B$4:$B$363,0)),"未登録")))</f>
        <v/>
      </c>
      <c r="F238" s="30">
        <f>IF($C238="","",IF($B238="YM",IFERROR(INDEX(機種マスタ!$K$4:$K$203,MATCH($C238,機種マスタ!$J$4:$J$203,0)),"-"),IFERROR(INDEX(機種マスタ!$C$4:$C$363,MATCH($C238,機種マスタ!$B$4:$B$363,0)),"-")))</f>
        <v/>
      </c>
      <c r="G238" s="30">
        <f>IF($C238="","",IF($B238="YM",IFERROR(N(INDEX(機種マスタ!$L$4:$L$203,MATCH($C238,機種マスタ!$J$4:$J$203,0))),0),IFERROR(N(INDEX(機種マスタ!$D$4:$D$363,MATCH($C238,機種マスタ!$B$4:$B$363,0))),0)))</f>
        <v/>
      </c>
      <c r="H238" s="30">
        <f>IF($C238="","",IF($D238="",1,$D238))</f>
        <v/>
      </c>
      <c r="I238" s="30">
        <f>IF($C238="","",IF(G238&gt;0,(G238+IFERROR(VLOOKUP(F238,機種マスタ!$Q$4:$R$6,2,FALSE),0))*H238,0))</f>
        <v/>
      </c>
    </row>
    <row r="239">
      <c r="A239" s="56" t="n"/>
      <c r="B239" s="41" t="n"/>
      <c r="C239" s="40" t="n"/>
      <c r="D239" s="41" t="n"/>
      <c r="E239" s="30">
        <f>IF($C239="","",IF($B239="YM",IFERROR(INDEX(機種マスタ!$I$4:$I$203,MATCH($C239,機種マスタ!$J$4:$J$203,0)),"未登録"),IFERROR(INDEX(機種マスタ!$A$4:$A$363,MATCH($C239,機種マスタ!$B$4:$B$363,0)),"未登録")))</f>
        <v/>
      </c>
      <c r="F239" s="30">
        <f>IF($C239="","",IF($B239="YM",IFERROR(INDEX(機種マスタ!$K$4:$K$203,MATCH($C239,機種マスタ!$J$4:$J$203,0)),"-"),IFERROR(INDEX(機種マスタ!$C$4:$C$363,MATCH($C239,機種マスタ!$B$4:$B$363,0)),"-")))</f>
        <v/>
      </c>
      <c r="G239" s="30">
        <f>IF($C239="","",IF($B239="YM",IFERROR(N(INDEX(機種マスタ!$L$4:$L$203,MATCH($C239,機種マスタ!$J$4:$J$203,0))),0),IFERROR(N(INDEX(機種マスタ!$D$4:$D$363,MATCH($C239,機種マスタ!$B$4:$B$363,0))),0)))</f>
        <v/>
      </c>
      <c r="H239" s="30">
        <f>IF($C239="","",IF($D239="",1,$D239))</f>
        <v/>
      </c>
      <c r="I239" s="30">
        <f>IF($C239="","",IF(G239&gt;0,(G239+IFERROR(VLOOKUP(F239,機種マスタ!$Q$4:$R$6,2,FALSE),0))*H239,0))</f>
        <v/>
      </c>
    </row>
    <row r="240">
      <c r="A240" s="56" t="n"/>
      <c r="B240" s="41" t="n"/>
      <c r="C240" s="40" t="n"/>
      <c r="D240" s="41" t="n"/>
      <c r="E240" s="30">
        <f>IF($C240="","",IF($B240="YM",IFERROR(INDEX(機種マスタ!$I$4:$I$203,MATCH($C240,機種マスタ!$J$4:$J$203,0)),"未登録"),IFERROR(INDEX(機種マスタ!$A$4:$A$363,MATCH($C240,機種マスタ!$B$4:$B$363,0)),"未登録")))</f>
        <v/>
      </c>
      <c r="F240" s="30">
        <f>IF($C240="","",IF($B240="YM",IFERROR(INDEX(機種マスタ!$K$4:$K$203,MATCH($C240,機種マスタ!$J$4:$J$203,0)),"-"),IFERROR(INDEX(機種マスタ!$C$4:$C$363,MATCH($C240,機種マスタ!$B$4:$B$363,0)),"-")))</f>
        <v/>
      </c>
      <c r="G240" s="30">
        <f>IF($C240="","",IF($B240="YM",IFERROR(N(INDEX(機種マスタ!$L$4:$L$203,MATCH($C240,機種マスタ!$J$4:$J$203,0))),0),IFERROR(N(INDEX(機種マスタ!$D$4:$D$363,MATCH($C240,機種マスタ!$B$4:$B$363,0))),0)))</f>
        <v/>
      </c>
      <c r="H240" s="30">
        <f>IF($C240="","",IF($D240="",1,$D240))</f>
        <v/>
      </c>
      <c r="I240" s="30">
        <f>IF($C240="","",IF(G240&gt;0,(G240+IFERROR(VLOOKUP(F240,機種マスタ!$Q$4:$R$6,2,FALSE),0))*H240,0))</f>
        <v/>
      </c>
    </row>
    <row r="241">
      <c r="A241" s="56" t="n"/>
      <c r="B241" s="41" t="n"/>
      <c r="C241" s="40" t="n"/>
      <c r="D241" s="41" t="n"/>
      <c r="E241" s="30">
        <f>IF($C241="","",IF($B241="YM",IFERROR(INDEX(機種マスタ!$I$4:$I$203,MATCH($C241,機種マスタ!$J$4:$J$203,0)),"未登録"),IFERROR(INDEX(機種マスタ!$A$4:$A$363,MATCH($C241,機種マスタ!$B$4:$B$363,0)),"未登録")))</f>
        <v/>
      </c>
      <c r="F241" s="30">
        <f>IF($C241="","",IF($B241="YM",IFERROR(INDEX(機種マスタ!$K$4:$K$203,MATCH($C241,機種マスタ!$J$4:$J$203,0)),"-"),IFERROR(INDEX(機種マスタ!$C$4:$C$363,MATCH($C241,機種マスタ!$B$4:$B$363,0)),"-")))</f>
        <v/>
      </c>
      <c r="G241" s="30">
        <f>IF($C241="","",IF($B241="YM",IFERROR(N(INDEX(機種マスタ!$L$4:$L$203,MATCH($C241,機種マスタ!$J$4:$J$203,0))),0),IFERROR(N(INDEX(機種マスタ!$D$4:$D$363,MATCH($C241,機種マスタ!$B$4:$B$363,0))),0)))</f>
        <v/>
      </c>
      <c r="H241" s="30">
        <f>IF($C241="","",IF($D241="",1,$D241))</f>
        <v/>
      </c>
      <c r="I241" s="30">
        <f>IF($C241="","",IF(G241&gt;0,(G241+IFERROR(VLOOKUP(F241,機種マスタ!$Q$4:$R$6,2,FALSE),0))*H241,0))</f>
        <v/>
      </c>
    </row>
    <row r="242">
      <c r="A242" s="56" t="n"/>
      <c r="B242" s="41" t="n"/>
      <c r="C242" s="40" t="n"/>
      <c r="D242" s="41" t="n"/>
      <c r="E242" s="30">
        <f>IF($C242="","",IF($B242="YM",IFERROR(INDEX(機種マスタ!$I$4:$I$203,MATCH($C242,機種マスタ!$J$4:$J$203,0)),"未登録"),IFERROR(INDEX(機種マスタ!$A$4:$A$363,MATCH($C242,機種マスタ!$B$4:$B$363,0)),"未登録")))</f>
        <v/>
      </c>
      <c r="F242" s="30">
        <f>IF($C242="","",IF($B242="YM",IFERROR(INDEX(機種マスタ!$K$4:$K$203,MATCH($C242,機種マスタ!$J$4:$J$203,0)),"-"),IFERROR(INDEX(機種マスタ!$C$4:$C$363,MATCH($C242,機種マスタ!$B$4:$B$363,0)),"-")))</f>
        <v/>
      </c>
      <c r="G242" s="30">
        <f>IF($C242="","",IF($B242="YM",IFERROR(N(INDEX(機種マスタ!$L$4:$L$203,MATCH($C242,機種マスタ!$J$4:$J$203,0))),0),IFERROR(N(INDEX(機種マスタ!$D$4:$D$363,MATCH($C242,機種マスタ!$B$4:$B$363,0))),0)))</f>
        <v/>
      </c>
      <c r="H242" s="30">
        <f>IF($C242="","",IF($D242="",1,$D242))</f>
        <v/>
      </c>
      <c r="I242" s="30">
        <f>IF($C242="","",IF(G242&gt;0,(G242+IFERROR(VLOOKUP(F242,機種マスタ!$Q$4:$R$6,2,FALSE),0))*H242,0))</f>
        <v/>
      </c>
    </row>
    <row r="243">
      <c r="A243" s="56" t="n"/>
      <c r="B243" s="41" t="n"/>
      <c r="C243" s="40" t="n"/>
      <c r="D243" s="41" t="n"/>
      <c r="E243" s="30">
        <f>IF($C243="","",IF($B243="YM",IFERROR(INDEX(機種マスタ!$I$4:$I$203,MATCH($C243,機種マスタ!$J$4:$J$203,0)),"未登録"),IFERROR(INDEX(機種マスタ!$A$4:$A$363,MATCH($C243,機種マスタ!$B$4:$B$363,0)),"未登録")))</f>
        <v/>
      </c>
      <c r="F243" s="30">
        <f>IF($C243="","",IF($B243="YM",IFERROR(INDEX(機種マスタ!$K$4:$K$203,MATCH($C243,機種マスタ!$J$4:$J$203,0)),"-"),IFERROR(INDEX(機種マスタ!$C$4:$C$363,MATCH($C243,機種マスタ!$B$4:$B$363,0)),"-")))</f>
        <v/>
      </c>
      <c r="G243" s="30">
        <f>IF($C243="","",IF($B243="YM",IFERROR(N(INDEX(機種マスタ!$L$4:$L$203,MATCH($C243,機種マスタ!$J$4:$J$203,0))),0),IFERROR(N(INDEX(機種マスタ!$D$4:$D$363,MATCH($C243,機種マスタ!$B$4:$B$363,0))),0)))</f>
        <v/>
      </c>
      <c r="H243" s="30">
        <f>IF($C243="","",IF($D243="",1,$D243))</f>
        <v/>
      </c>
      <c r="I243" s="30">
        <f>IF($C243="","",IF(G243&gt;0,(G243+IFERROR(VLOOKUP(F243,機種マスタ!$Q$4:$R$6,2,FALSE),0))*H243,0))</f>
        <v/>
      </c>
    </row>
    <row r="244">
      <c r="A244" s="56" t="n"/>
      <c r="B244" s="41" t="n"/>
      <c r="C244" s="40" t="n"/>
      <c r="D244" s="41" t="n"/>
      <c r="E244" s="30">
        <f>IF($C244="","",IF($B244="YM",IFERROR(INDEX(機種マスタ!$I$4:$I$203,MATCH($C244,機種マスタ!$J$4:$J$203,0)),"未登録"),IFERROR(INDEX(機種マスタ!$A$4:$A$363,MATCH($C244,機種マスタ!$B$4:$B$363,0)),"未登録")))</f>
        <v/>
      </c>
      <c r="F244" s="30">
        <f>IF($C244="","",IF($B244="YM",IFERROR(INDEX(機種マスタ!$K$4:$K$203,MATCH($C244,機種マスタ!$J$4:$J$203,0)),"-"),IFERROR(INDEX(機種マスタ!$C$4:$C$363,MATCH($C244,機種マスタ!$B$4:$B$363,0)),"-")))</f>
        <v/>
      </c>
      <c r="G244" s="30">
        <f>IF($C244="","",IF($B244="YM",IFERROR(N(INDEX(機種マスタ!$L$4:$L$203,MATCH($C244,機種マスタ!$J$4:$J$203,0))),0),IFERROR(N(INDEX(機種マスタ!$D$4:$D$363,MATCH($C244,機種マスタ!$B$4:$B$363,0))),0)))</f>
        <v/>
      </c>
      <c r="H244" s="30">
        <f>IF($C244="","",IF($D244="",1,$D244))</f>
        <v/>
      </c>
      <c r="I244" s="30">
        <f>IF($C244="","",IF(G244&gt;0,(G244+IFERROR(VLOOKUP(F244,機種マスタ!$Q$4:$R$6,2,FALSE),0))*H244,0))</f>
        <v/>
      </c>
    </row>
    <row r="245">
      <c r="A245" s="56" t="n"/>
      <c r="B245" s="41" t="n"/>
      <c r="C245" s="40" t="n"/>
      <c r="D245" s="41" t="n"/>
      <c r="E245" s="30">
        <f>IF($C245="","",IF($B245="YM",IFERROR(INDEX(機種マスタ!$I$4:$I$203,MATCH($C245,機種マスタ!$J$4:$J$203,0)),"未登録"),IFERROR(INDEX(機種マスタ!$A$4:$A$363,MATCH($C245,機種マスタ!$B$4:$B$363,0)),"未登録")))</f>
        <v/>
      </c>
      <c r="F245" s="30">
        <f>IF($C245="","",IF($B245="YM",IFERROR(INDEX(機種マスタ!$K$4:$K$203,MATCH($C245,機種マスタ!$J$4:$J$203,0)),"-"),IFERROR(INDEX(機種マスタ!$C$4:$C$363,MATCH($C245,機種マスタ!$B$4:$B$363,0)),"-")))</f>
        <v/>
      </c>
      <c r="G245" s="30">
        <f>IF($C245="","",IF($B245="YM",IFERROR(N(INDEX(機種マスタ!$L$4:$L$203,MATCH($C245,機種マスタ!$J$4:$J$203,0))),0),IFERROR(N(INDEX(機種マスタ!$D$4:$D$363,MATCH($C245,機種マスタ!$B$4:$B$363,0))),0)))</f>
        <v/>
      </c>
      <c r="H245" s="30">
        <f>IF($C245="","",IF($D245="",1,$D245))</f>
        <v/>
      </c>
      <c r="I245" s="30">
        <f>IF($C245="","",IF(G245&gt;0,(G245+IFERROR(VLOOKUP(F245,機種マスタ!$Q$4:$R$6,2,FALSE),0))*H245,0))</f>
        <v/>
      </c>
    </row>
    <row r="246">
      <c r="A246" s="56" t="n"/>
      <c r="B246" s="41" t="n"/>
      <c r="C246" s="40" t="n"/>
      <c r="D246" s="41" t="n"/>
      <c r="E246" s="30">
        <f>IF($C246="","",IF($B246="YM",IFERROR(INDEX(機種マスタ!$I$4:$I$203,MATCH($C246,機種マスタ!$J$4:$J$203,0)),"未登録"),IFERROR(INDEX(機種マスタ!$A$4:$A$363,MATCH($C246,機種マスタ!$B$4:$B$363,0)),"未登録")))</f>
        <v/>
      </c>
      <c r="F246" s="30">
        <f>IF($C246="","",IF($B246="YM",IFERROR(INDEX(機種マスタ!$K$4:$K$203,MATCH($C246,機種マスタ!$J$4:$J$203,0)),"-"),IFERROR(INDEX(機種マスタ!$C$4:$C$363,MATCH($C246,機種マスタ!$B$4:$B$363,0)),"-")))</f>
        <v/>
      </c>
      <c r="G246" s="30">
        <f>IF($C246="","",IF($B246="YM",IFERROR(N(INDEX(機種マスタ!$L$4:$L$203,MATCH($C246,機種マスタ!$J$4:$J$203,0))),0),IFERROR(N(INDEX(機種マスタ!$D$4:$D$363,MATCH($C246,機種マスタ!$B$4:$B$363,0))),0)))</f>
        <v/>
      </c>
      <c r="H246" s="30">
        <f>IF($C246="","",IF($D246="",1,$D246))</f>
        <v/>
      </c>
      <c r="I246" s="30">
        <f>IF($C246="","",IF(G246&gt;0,(G246+IFERROR(VLOOKUP(F246,機種マスタ!$Q$4:$R$6,2,FALSE),0))*H246,0))</f>
        <v/>
      </c>
    </row>
    <row r="247">
      <c r="A247" s="56" t="n"/>
      <c r="B247" s="41" t="n"/>
      <c r="C247" s="40" t="n"/>
      <c r="D247" s="41" t="n"/>
      <c r="E247" s="30">
        <f>IF($C247="","",IF($B247="YM",IFERROR(INDEX(機種マスタ!$I$4:$I$203,MATCH($C247,機種マスタ!$J$4:$J$203,0)),"未登録"),IFERROR(INDEX(機種マスタ!$A$4:$A$363,MATCH($C247,機種マスタ!$B$4:$B$363,0)),"未登録")))</f>
        <v/>
      </c>
      <c r="F247" s="30">
        <f>IF($C247="","",IF($B247="YM",IFERROR(INDEX(機種マスタ!$K$4:$K$203,MATCH($C247,機種マスタ!$J$4:$J$203,0)),"-"),IFERROR(INDEX(機種マスタ!$C$4:$C$363,MATCH($C247,機種マスタ!$B$4:$B$363,0)),"-")))</f>
        <v/>
      </c>
      <c r="G247" s="30">
        <f>IF($C247="","",IF($B247="YM",IFERROR(N(INDEX(機種マスタ!$L$4:$L$203,MATCH($C247,機種マスタ!$J$4:$J$203,0))),0),IFERROR(N(INDEX(機種マスタ!$D$4:$D$363,MATCH($C247,機種マスタ!$B$4:$B$363,0))),0)))</f>
        <v/>
      </c>
      <c r="H247" s="30">
        <f>IF($C247="","",IF($D247="",1,$D247))</f>
        <v/>
      </c>
      <c r="I247" s="30">
        <f>IF($C247="","",IF(G247&gt;0,(G247+IFERROR(VLOOKUP(F247,機種マスタ!$Q$4:$R$6,2,FALSE),0))*H247,0))</f>
        <v/>
      </c>
    </row>
    <row r="248">
      <c r="A248" s="56" t="n"/>
      <c r="B248" s="41" t="n"/>
      <c r="C248" s="40" t="n"/>
      <c r="D248" s="41" t="n"/>
      <c r="E248" s="30">
        <f>IF($C248="","",IF($B248="YM",IFERROR(INDEX(機種マスタ!$I$4:$I$203,MATCH($C248,機種マスタ!$J$4:$J$203,0)),"未登録"),IFERROR(INDEX(機種マスタ!$A$4:$A$363,MATCH($C248,機種マスタ!$B$4:$B$363,0)),"未登録")))</f>
        <v/>
      </c>
      <c r="F248" s="30">
        <f>IF($C248="","",IF($B248="YM",IFERROR(INDEX(機種マスタ!$K$4:$K$203,MATCH($C248,機種マスタ!$J$4:$J$203,0)),"-"),IFERROR(INDEX(機種マスタ!$C$4:$C$363,MATCH($C248,機種マスタ!$B$4:$B$363,0)),"-")))</f>
        <v/>
      </c>
      <c r="G248" s="30">
        <f>IF($C248="","",IF($B248="YM",IFERROR(N(INDEX(機種マスタ!$L$4:$L$203,MATCH($C248,機種マスタ!$J$4:$J$203,0))),0),IFERROR(N(INDEX(機種マスタ!$D$4:$D$363,MATCH($C248,機種マスタ!$B$4:$B$363,0))),0)))</f>
        <v/>
      </c>
      <c r="H248" s="30">
        <f>IF($C248="","",IF($D248="",1,$D248))</f>
        <v/>
      </c>
      <c r="I248" s="30">
        <f>IF($C248="","",IF(G248&gt;0,(G248+IFERROR(VLOOKUP(F248,機種マスタ!$Q$4:$R$6,2,FALSE),0))*H248,0))</f>
        <v/>
      </c>
    </row>
    <row r="249">
      <c r="A249" s="56" t="n"/>
      <c r="B249" s="41" t="n"/>
      <c r="C249" s="40" t="n"/>
      <c r="D249" s="41" t="n"/>
      <c r="E249" s="30">
        <f>IF($C249="","",IF($B249="YM",IFERROR(INDEX(機種マスタ!$I$4:$I$203,MATCH($C249,機種マスタ!$J$4:$J$203,0)),"未登録"),IFERROR(INDEX(機種マスタ!$A$4:$A$363,MATCH($C249,機種マスタ!$B$4:$B$363,0)),"未登録")))</f>
        <v/>
      </c>
      <c r="F249" s="30">
        <f>IF($C249="","",IF($B249="YM",IFERROR(INDEX(機種マスタ!$K$4:$K$203,MATCH($C249,機種マスタ!$J$4:$J$203,0)),"-"),IFERROR(INDEX(機種マスタ!$C$4:$C$363,MATCH($C249,機種マスタ!$B$4:$B$363,0)),"-")))</f>
        <v/>
      </c>
      <c r="G249" s="30">
        <f>IF($C249="","",IF($B249="YM",IFERROR(N(INDEX(機種マスタ!$L$4:$L$203,MATCH($C249,機種マスタ!$J$4:$J$203,0))),0),IFERROR(N(INDEX(機種マスタ!$D$4:$D$363,MATCH($C249,機種マスタ!$B$4:$B$363,0))),0)))</f>
        <v/>
      </c>
      <c r="H249" s="30">
        <f>IF($C249="","",IF($D249="",1,$D249))</f>
        <v/>
      </c>
      <c r="I249" s="30">
        <f>IF($C249="","",IF(G249&gt;0,(G249+IFERROR(VLOOKUP(F249,機種マスタ!$Q$4:$R$6,2,FALSE),0))*H249,0))</f>
        <v/>
      </c>
    </row>
    <row r="250">
      <c r="A250" s="56" t="n"/>
      <c r="B250" s="41" t="n"/>
      <c r="C250" s="40" t="n"/>
      <c r="D250" s="41" t="n"/>
      <c r="E250" s="30">
        <f>IF($C250="","",IF($B250="YM",IFERROR(INDEX(機種マスタ!$I$4:$I$203,MATCH($C250,機種マスタ!$J$4:$J$203,0)),"未登録"),IFERROR(INDEX(機種マスタ!$A$4:$A$363,MATCH($C250,機種マスタ!$B$4:$B$363,0)),"未登録")))</f>
        <v/>
      </c>
      <c r="F250" s="30">
        <f>IF($C250="","",IF($B250="YM",IFERROR(INDEX(機種マスタ!$K$4:$K$203,MATCH($C250,機種マスタ!$J$4:$J$203,0)),"-"),IFERROR(INDEX(機種マスタ!$C$4:$C$363,MATCH($C250,機種マスタ!$B$4:$B$363,0)),"-")))</f>
        <v/>
      </c>
      <c r="G250" s="30">
        <f>IF($C250="","",IF($B250="YM",IFERROR(N(INDEX(機種マスタ!$L$4:$L$203,MATCH($C250,機種マスタ!$J$4:$J$203,0))),0),IFERROR(N(INDEX(機種マスタ!$D$4:$D$363,MATCH($C250,機種マスタ!$B$4:$B$363,0))),0)))</f>
        <v/>
      </c>
      <c r="H250" s="30">
        <f>IF($C250="","",IF($D250="",1,$D250))</f>
        <v/>
      </c>
      <c r="I250" s="30">
        <f>IF($C250="","",IF(G250&gt;0,(G250+IFERROR(VLOOKUP(F250,機種マスタ!$Q$4:$R$6,2,FALSE),0))*H250,0))</f>
        <v/>
      </c>
    </row>
    <row r="251">
      <c r="A251" s="56" t="n"/>
      <c r="B251" s="41" t="n"/>
      <c r="C251" s="40" t="n"/>
      <c r="D251" s="41" t="n"/>
      <c r="E251" s="30">
        <f>IF($C251="","",IF($B251="YM",IFERROR(INDEX(機種マスタ!$I$4:$I$203,MATCH($C251,機種マスタ!$J$4:$J$203,0)),"未登録"),IFERROR(INDEX(機種マスタ!$A$4:$A$363,MATCH($C251,機種マスタ!$B$4:$B$363,0)),"未登録")))</f>
        <v/>
      </c>
      <c r="F251" s="30">
        <f>IF($C251="","",IF($B251="YM",IFERROR(INDEX(機種マスタ!$K$4:$K$203,MATCH($C251,機種マスタ!$J$4:$J$203,0)),"-"),IFERROR(INDEX(機種マスタ!$C$4:$C$363,MATCH($C251,機種マスタ!$B$4:$B$363,0)),"-")))</f>
        <v/>
      </c>
      <c r="G251" s="30">
        <f>IF($C251="","",IF($B251="YM",IFERROR(N(INDEX(機種マスタ!$L$4:$L$203,MATCH($C251,機種マスタ!$J$4:$J$203,0))),0),IFERROR(N(INDEX(機種マスタ!$D$4:$D$363,MATCH($C251,機種マスタ!$B$4:$B$363,0))),0)))</f>
        <v/>
      </c>
      <c r="H251" s="30">
        <f>IF($C251="","",IF($D251="",1,$D251))</f>
        <v/>
      </c>
      <c r="I251" s="30">
        <f>IF($C251="","",IF(G251&gt;0,(G251+IFERROR(VLOOKUP(F251,機種マスタ!$Q$4:$R$6,2,FALSE),0))*H251,0))</f>
        <v/>
      </c>
    </row>
    <row r="252">
      <c r="A252" s="56" t="n"/>
      <c r="B252" s="41" t="n"/>
      <c r="C252" s="40" t="n"/>
      <c r="D252" s="41" t="n"/>
      <c r="E252" s="30">
        <f>IF($C252="","",IF($B252="YM",IFERROR(INDEX(機種マスタ!$I$4:$I$203,MATCH($C252,機種マスタ!$J$4:$J$203,0)),"未登録"),IFERROR(INDEX(機種マスタ!$A$4:$A$363,MATCH($C252,機種マスタ!$B$4:$B$363,0)),"未登録")))</f>
        <v/>
      </c>
      <c r="F252" s="30">
        <f>IF($C252="","",IF($B252="YM",IFERROR(INDEX(機種マスタ!$K$4:$K$203,MATCH($C252,機種マスタ!$J$4:$J$203,0)),"-"),IFERROR(INDEX(機種マスタ!$C$4:$C$363,MATCH($C252,機種マスタ!$B$4:$B$363,0)),"-")))</f>
        <v/>
      </c>
      <c r="G252" s="30">
        <f>IF($C252="","",IF($B252="YM",IFERROR(N(INDEX(機種マスタ!$L$4:$L$203,MATCH($C252,機種マスタ!$J$4:$J$203,0))),0),IFERROR(N(INDEX(機種マスタ!$D$4:$D$363,MATCH($C252,機種マスタ!$B$4:$B$363,0))),0)))</f>
        <v/>
      </c>
      <c r="H252" s="30">
        <f>IF($C252="","",IF($D252="",1,$D252))</f>
        <v/>
      </c>
      <c r="I252" s="30">
        <f>IF($C252="","",IF(G252&gt;0,(G252+IFERROR(VLOOKUP(F252,機種マスタ!$Q$4:$R$6,2,FALSE),0))*H252,0))</f>
        <v/>
      </c>
    </row>
    <row r="253">
      <c r="A253" s="56" t="n"/>
      <c r="B253" s="41" t="n"/>
      <c r="C253" s="40" t="n"/>
      <c r="D253" s="41" t="n"/>
      <c r="E253" s="30">
        <f>IF($C253="","",IF($B253="YM",IFERROR(INDEX(機種マスタ!$I$4:$I$203,MATCH($C253,機種マスタ!$J$4:$J$203,0)),"未登録"),IFERROR(INDEX(機種マスタ!$A$4:$A$363,MATCH($C253,機種マスタ!$B$4:$B$363,0)),"未登録")))</f>
        <v/>
      </c>
      <c r="F253" s="30">
        <f>IF($C253="","",IF($B253="YM",IFERROR(INDEX(機種マスタ!$K$4:$K$203,MATCH($C253,機種マスタ!$J$4:$J$203,0)),"-"),IFERROR(INDEX(機種マスタ!$C$4:$C$363,MATCH($C253,機種マスタ!$B$4:$B$363,0)),"-")))</f>
        <v/>
      </c>
      <c r="G253" s="30">
        <f>IF($C253="","",IF($B253="YM",IFERROR(N(INDEX(機種マスタ!$L$4:$L$203,MATCH($C253,機種マスタ!$J$4:$J$203,0))),0),IFERROR(N(INDEX(機種マスタ!$D$4:$D$363,MATCH($C253,機種マスタ!$B$4:$B$363,0))),0)))</f>
        <v/>
      </c>
      <c r="H253" s="30">
        <f>IF($C253="","",IF($D253="",1,$D253))</f>
        <v/>
      </c>
      <c r="I253" s="30">
        <f>IF($C253="","",IF(G253&gt;0,(G253+IFERROR(VLOOKUP(F253,機種マスタ!$Q$4:$R$6,2,FALSE),0))*H253,0))</f>
        <v/>
      </c>
    </row>
    <row r="254">
      <c r="A254" s="56" t="n"/>
      <c r="B254" s="41" t="n"/>
      <c r="C254" s="40" t="n"/>
      <c r="D254" s="41" t="n"/>
      <c r="E254" s="30">
        <f>IF($C254="","",IF($B254="YM",IFERROR(INDEX(機種マスタ!$I$4:$I$203,MATCH($C254,機種マスタ!$J$4:$J$203,0)),"未登録"),IFERROR(INDEX(機種マスタ!$A$4:$A$363,MATCH($C254,機種マスタ!$B$4:$B$363,0)),"未登録")))</f>
        <v/>
      </c>
      <c r="F254" s="30">
        <f>IF($C254="","",IF($B254="YM",IFERROR(INDEX(機種マスタ!$K$4:$K$203,MATCH($C254,機種マスタ!$J$4:$J$203,0)),"-"),IFERROR(INDEX(機種マスタ!$C$4:$C$363,MATCH($C254,機種マスタ!$B$4:$B$363,0)),"-")))</f>
        <v/>
      </c>
      <c r="G254" s="30">
        <f>IF($C254="","",IF($B254="YM",IFERROR(N(INDEX(機種マスタ!$L$4:$L$203,MATCH($C254,機種マスタ!$J$4:$J$203,0))),0),IFERROR(N(INDEX(機種マスタ!$D$4:$D$363,MATCH($C254,機種マスタ!$B$4:$B$363,0))),0)))</f>
        <v/>
      </c>
      <c r="H254" s="30">
        <f>IF($C254="","",IF($D254="",1,$D254))</f>
        <v/>
      </c>
      <c r="I254" s="30">
        <f>IF($C254="","",IF(G254&gt;0,(G254+IFERROR(VLOOKUP(F254,機種マスタ!$Q$4:$R$6,2,FALSE),0))*H254,0))</f>
        <v/>
      </c>
    </row>
    <row r="255">
      <c r="A255" s="56" t="n"/>
      <c r="B255" s="41" t="n"/>
      <c r="C255" s="40" t="n"/>
      <c r="D255" s="41" t="n"/>
      <c r="E255" s="30">
        <f>IF($C255="","",IF($B255="YM",IFERROR(INDEX(機種マスタ!$I$4:$I$203,MATCH($C255,機種マスタ!$J$4:$J$203,0)),"未登録"),IFERROR(INDEX(機種マスタ!$A$4:$A$363,MATCH($C255,機種マスタ!$B$4:$B$363,0)),"未登録")))</f>
        <v/>
      </c>
      <c r="F255" s="30">
        <f>IF($C255="","",IF($B255="YM",IFERROR(INDEX(機種マスタ!$K$4:$K$203,MATCH($C255,機種マスタ!$J$4:$J$203,0)),"-"),IFERROR(INDEX(機種マスタ!$C$4:$C$363,MATCH($C255,機種マスタ!$B$4:$B$363,0)),"-")))</f>
        <v/>
      </c>
      <c r="G255" s="30">
        <f>IF($C255="","",IF($B255="YM",IFERROR(N(INDEX(機種マスタ!$L$4:$L$203,MATCH($C255,機種マスタ!$J$4:$J$203,0))),0),IFERROR(N(INDEX(機種マスタ!$D$4:$D$363,MATCH($C255,機種マスタ!$B$4:$B$363,0))),0)))</f>
        <v/>
      </c>
      <c r="H255" s="30">
        <f>IF($C255="","",IF($D255="",1,$D255))</f>
        <v/>
      </c>
      <c r="I255" s="30">
        <f>IF($C255="","",IF(G255&gt;0,(G255+IFERROR(VLOOKUP(F255,機種マスタ!$Q$4:$R$6,2,FALSE),0))*H255,0))</f>
        <v/>
      </c>
    </row>
    <row r="256">
      <c r="A256" s="56" t="n"/>
      <c r="B256" s="41" t="n"/>
      <c r="C256" s="40" t="n"/>
      <c r="D256" s="41" t="n"/>
      <c r="E256" s="30">
        <f>IF($C256="","",IF($B256="YM",IFERROR(INDEX(機種マスタ!$I$4:$I$203,MATCH($C256,機種マスタ!$J$4:$J$203,0)),"未登録"),IFERROR(INDEX(機種マスタ!$A$4:$A$363,MATCH($C256,機種マスタ!$B$4:$B$363,0)),"未登録")))</f>
        <v/>
      </c>
      <c r="F256" s="30">
        <f>IF($C256="","",IF($B256="YM",IFERROR(INDEX(機種マスタ!$K$4:$K$203,MATCH($C256,機種マスタ!$J$4:$J$203,0)),"-"),IFERROR(INDEX(機種マスタ!$C$4:$C$363,MATCH($C256,機種マスタ!$B$4:$B$363,0)),"-")))</f>
        <v/>
      </c>
      <c r="G256" s="30">
        <f>IF($C256="","",IF($B256="YM",IFERROR(N(INDEX(機種マスタ!$L$4:$L$203,MATCH($C256,機種マスタ!$J$4:$J$203,0))),0),IFERROR(N(INDEX(機種マスタ!$D$4:$D$363,MATCH($C256,機種マスタ!$B$4:$B$363,0))),0)))</f>
        <v/>
      </c>
      <c r="H256" s="30">
        <f>IF($C256="","",IF($D256="",1,$D256))</f>
        <v/>
      </c>
      <c r="I256" s="30">
        <f>IF($C256="","",IF(G256&gt;0,(G256+IFERROR(VLOOKUP(F256,機種マスタ!$Q$4:$R$6,2,FALSE),0))*H256,0))</f>
        <v/>
      </c>
    </row>
    <row r="257">
      <c r="A257" s="56" t="n"/>
      <c r="B257" s="41" t="n"/>
      <c r="C257" s="40" t="n"/>
      <c r="D257" s="41" t="n"/>
      <c r="E257" s="30">
        <f>IF($C257="","",IF($B257="YM",IFERROR(INDEX(機種マスタ!$I$4:$I$203,MATCH($C257,機種マスタ!$J$4:$J$203,0)),"未登録"),IFERROR(INDEX(機種マスタ!$A$4:$A$363,MATCH($C257,機種マスタ!$B$4:$B$363,0)),"未登録")))</f>
        <v/>
      </c>
      <c r="F257" s="30">
        <f>IF($C257="","",IF($B257="YM",IFERROR(INDEX(機種マスタ!$K$4:$K$203,MATCH($C257,機種マスタ!$J$4:$J$203,0)),"-"),IFERROR(INDEX(機種マスタ!$C$4:$C$363,MATCH($C257,機種マスタ!$B$4:$B$363,0)),"-")))</f>
        <v/>
      </c>
      <c r="G257" s="30">
        <f>IF($C257="","",IF($B257="YM",IFERROR(N(INDEX(機種マスタ!$L$4:$L$203,MATCH($C257,機種マスタ!$J$4:$J$203,0))),0),IFERROR(N(INDEX(機種マスタ!$D$4:$D$363,MATCH($C257,機種マスタ!$B$4:$B$363,0))),0)))</f>
        <v/>
      </c>
      <c r="H257" s="30">
        <f>IF($C257="","",IF($D257="",1,$D257))</f>
        <v/>
      </c>
      <c r="I257" s="30">
        <f>IF($C257="","",IF(G257&gt;0,(G257+IFERROR(VLOOKUP(F257,機種マスタ!$Q$4:$R$6,2,FALSE),0))*H257,0))</f>
        <v/>
      </c>
    </row>
    <row r="258">
      <c r="A258" s="56" t="n"/>
      <c r="B258" s="41" t="n"/>
      <c r="C258" s="40" t="n"/>
      <c r="D258" s="41" t="n"/>
      <c r="E258" s="30">
        <f>IF($C258="","",IF($B258="YM",IFERROR(INDEX(機種マスタ!$I$4:$I$203,MATCH($C258,機種マスタ!$J$4:$J$203,0)),"未登録"),IFERROR(INDEX(機種マスタ!$A$4:$A$363,MATCH($C258,機種マスタ!$B$4:$B$363,0)),"未登録")))</f>
        <v/>
      </c>
      <c r="F258" s="30">
        <f>IF($C258="","",IF($B258="YM",IFERROR(INDEX(機種マスタ!$K$4:$K$203,MATCH($C258,機種マスタ!$J$4:$J$203,0)),"-"),IFERROR(INDEX(機種マスタ!$C$4:$C$363,MATCH($C258,機種マスタ!$B$4:$B$363,0)),"-")))</f>
        <v/>
      </c>
      <c r="G258" s="30">
        <f>IF($C258="","",IF($B258="YM",IFERROR(N(INDEX(機種マスタ!$L$4:$L$203,MATCH($C258,機種マスタ!$J$4:$J$203,0))),0),IFERROR(N(INDEX(機種マスタ!$D$4:$D$363,MATCH($C258,機種マスタ!$B$4:$B$363,0))),0)))</f>
        <v/>
      </c>
      <c r="H258" s="30">
        <f>IF($C258="","",IF($D258="",1,$D258))</f>
        <v/>
      </c>
      <c r="I258" s="30">
        <f>IF($C258="","",IF(G258&gt;0,(G258+IFERROR(VLOOKUP(F258,機種マスタ!$Q$4:$R$6,2,FALSE),0))*H258,0))</f>
        <v/>
      </c>
    </row>
    <row r="259">
      <c r="A259" s="56" t="n"/>
      <c r="B259" s="41" t="n"/>
      <c r="C259" s="40" t="n"/>
      <c r="D259" s="41" t="n"/>
      <c r="E259" s="30">
        <f>IF($C259="","",IF($B259="YM",IFERROR(INDEX(機種マスタ!$I$4:$I$203,MATCH($C259,機種マスタ!$J$4:$J$203,0)),"未登録"),IFERROR(INDEX(機種マスタ!$A$4:$A$363,MATCH($C259,機種マスタ!$B$4:$B$363,0)),"未登録")))</f>
        <v/>
      </c>
      <c r="F259" s="30">
        <f>IF($C259="","",IF($B259="YM",IFERROR(INDEX(機種マスタ!$K$4:$K$203,MATCH($C259,機種マスタ!$J$4:$J$203,0)),"-"),IFERROR(INDEX(機種マスタ!$C$4:$C$363,MATCH($C259,機種マスタ!$B$4:$B$363,0)),"-")))</f>
        <v/>
      </c>
      <c r="G259" s="30">
        <f>IF($C259="","",IF($B259="YM",IFERROR(N(INDEX(機種マスタ!$L$4:$L$203,MATCH($C259,機種マスタ!$J$4:$J$203,0))),0),IFERROR(N(INDEX(機種マスタ!$D$4:$D$363,MATCH($C259,機種マスタ!$B$4:$B$363,0))),0)))</f>
        <v/>
      </c>
      <c r="H259" s="30">
        <f>IF($C259="","",IF($D259="",1,$D259))</f>
        <v/>
      </c>
      <c r="I259" s="30">
        <f>IF($C259="","",IF(G259&gt;0,(G259+IFERROR(VLOOKUP(F259,機種マスタ!$Q$4:$R$6,2,FALSE),0))*H259,0))</f>
        <v/>
      </c>
    </row>
    <row r="260">
      <c r="A260" s="56" t="n"/>
      <c r="B260" s="41" t="n"/>
      <c r="C260" s="40" t="n"/>
      <c r="D260" s="41" t="n"/>
      <c r="E260" s="30">
        <f>IF($C260="","",IF($B260="YM",IFERROR(INDEX(機種マスタ!$I$4:$I$203,MATCH($C260,機種マスタ!$J$4:$J$203,0)),"未登録"),IFERROR(INDEX(機種マスタ!$A$4:$A$363,MATCH($C260,機種マスタ!$B$4:$B$363,0)),"未登録")))</f>
        <v/>
      </c>
      <c r="F260" s="30">
        <f>IF($C260="","",IF($B260="YM",IFERROR(INDEX(機種マスタ!$K$4:$K$203,MATCH($C260,機種マスタ!$J$4:$J$203,0)),"-"),IFERROR(INDEX(機種マスタ!$C$4:$C$363,MATCH($C260,機種マスタ!$B$4:$B$363,0)),"-")))</f>
        <v/>
      </c>
      <c r="G260" s="30">
        <f>IF($C260="","",IF($B260="YM",IFERROR(N(INDEX(機種マスタ!$L$4:$L$203,MATCH($C260,機種マスタ!$J$4:$J$203,0))),0),IFERROR(N(INDEX(機種マスタ!$D$4:$D$363,MATCH($C260,機種マスタ!$B$4:$B$363,0))),0)))</f>
        <v/>
      </c>
      <c r="H260" s="30">
        <f>IF($C260="","",IF($D260="",1,$D260))</f>
        <v/>
      </c>
      <c r="I260" s="30">
        <f>IF($C260="","",IF(G260&gt;0,(G260+IFERROR(VLOOKUP(F260,機種マスタ!$Q$4:$R$6,2,FALSE),0))*H260,0))</f>
        <v/>
      </c>
    </row>
    <row r="261">
      <c r="A261" s="56" t="n"/>
      <c r="B261" s="41" t="n"/>
      <c r="C261" s="40" t="n"/>
      <c r="D261" s="41" t="n"/>
      <c r="E261" s="30">
        <f>IF($C261="","",IF($B261="YM",IFERROR(INDEX(機種マスタ!$I$4:$I$203,MATCH($C261,機種マスタ!$J$4:$J$203,0)),"未登録"),IFERROR(INDEX(機種マスタ!$A$4:$A$363,MATCH($C261,機種マスタ!$B$4:$B$363,0)),"未登録")))</f>
        <v/>
      </c>
      <c r="F261" s="30">
        <f>IF($C261="","",IF($B261="YM",IFERROR(INDEX(機種マスタ!$K$4:$K$203,MATCH($C261,機種マスタ!$J$4:$J$203,0)),"-"),IFERROR(INDEX(機種マスタ!$C$4:$C$363,MATCH($C261,機種マスタ!$B$4:$B$363,0)),"-")))</f>
        <v/>
      </c>
      <c r="G261" s="30">
        <f>IF($C261="","",IF($B261="YM",IFERROR(N(INDEX(機種マスタ!$L$4:$L$203,MATCH($C261,機種マスタ!$J$4:$J$203,0))),0),IFERROR(N(INDEX(機種マスタ!$D$4:$D$363,MATCH($C261,機種マスタ!$B$4:$B$363,0))),0)))</f>
        <v/>
      </c>
      <c r="H261" s="30">
        <f>IF($C261="","",IF($D261="",1,$D261))</f>
        <v/>
      </c>
      <c r="I261" s="30">
        <f>IF($C261="","",IF(G261&gt;0,(G261+IFERROR(VLOOKUP(F261,機種マスタ!$Q$4:$R$6,2,FALSE),0))*H261,0))</f>
        <v/>
      </c>
    </row>
    <row r="262">
      <c r="A262" s="56" t="n"/>
      <c r="B262" s="41" t="n"/>
      <c r="C262" s="40" t="n"/>
      <c r="D262" s="41" t="n"/>
      <c r="E262" s="30">
        <f>IF($C262="","",IF($B262="YM",IFERROR(INDEX(機種マスタ!$I$4:$I$203,MATCH($C262,機種マスタ!$J$4:$J$203,0)),"未登録"),IFERROR(INDEX(機種マスタ!$A$4:$A$363,MATCH($C262,機種マスタ!$B$4:$B$363,0)),"未登録")))</f>
        <v/>
      </c>
      <c r="F262" s="30">
        <f>IF($C262="","",IF($B262="YM",IFERROR(INDEX(機種マスタ!$K$4:$K$203,MATCH($C262,機種マスタ!$J$4:$J$203,0)),"-"),IFERROR(INDEX(機種マスタ!$C$4:$C$363,MATCH($C262,機種マスタ!$B$4:$B$363,0)),"-")))</f>
        <v/>
      </c>
      <c r="G262" s="30">
        <f>IF($C262="","",IF($B262="YM",IFERROR(N(INDEX(機種マスタ!$L$4:$L$203,MATCH($C262,機種マスタ!$J$4:$J$203,0))),0),IFERROR(N(INDEX(機種マスタ!$D$4:$D$363,MATCH($C262,機種マスタ!$B$4:$B$363,0))),0)))</f>
        <v/>
      </c>
      <c r="H262" s="30">
        <f>IF($C262="","",IF($D262="",1,$D262))</f>
        <v/>
      </c>
      <c r="I262" s="30">
        <f>IF($C262="","",IF(G262&gt;0,(G262+IFERROR(VLOOKUP(F262,機種マスタ!$Q$4:$R$6,2,FALSE),0))*H262,0))</f>
        <v/>
      </c>
    </row>
    <row r="263">
      <c r="A263" s="56" t="n"/>
      <c r="B263" s="41" t="n"/>
      <c r="C263" s="40" t="n"/>
      <c r="D263" s="41" t="n"/>
      <c r="E263" s="30">
        <f>IF($C263="","",IF($B263="YM",IFERROR(INDEX(機種マスタ!$I$4:$I$203,MATCH($C263,機種マスタ!$J$4:$J$203,0)),"未登録"),IFERROR(INDEX(機種マスタ!$A$4:$A$363,MATCH($C263,機種マスタ!$B$4:$B$363,0)),"未登録")))</f>
        <v/>
      </c>
      <c r="F263" s="30">
        <f>IF($C263="","",IF($B263="YM",IFERROR(INDEX(機種マスタ!$K$4:$K$203,MATCH($C263,機種マスタ!$J$4:$J$203,0)),"-"),IFERROR(INDEX(機種マスタ!$C$4:$C$363,MATCH($C263,機種マスタ!$B$4:$B$363,0)),"-")))</f>
        <v/>
      </c>
      <c r="G263" s="30">
        <f>IF($C263="","",IF($B263="YM",IFERROR(N(INDEX(機種マスタ!$L$4:$L$203,MATCH($C263,機種マスタ!$J$4:$J$203,0))),0),IFERROR(N(INDEX(機種マスタ!$D$4:$D$363,MATCH($C263,機種マスタ!$B$4:$B$363,0))),0)))</f>
        <v/>
      </c>
      <c r="H263" s="30">
        <f>IF($C263="","",IF($D263="",1,$D263))</f>
        <v/>
      </c>
      <c r="I263" s="30">
        <f>IF($C263="","",IF(G263&gt;0,(G263+IFERROR(VLOOKUP(F263,機種マスタ!$Q$4:$R$6,2,FALSE),0))*H263,0))</f>
        <v/>
      </c>
    </row>
    <row r="264">
      <c r="A264" s="56" t="n"/>
      <c r="B264" s="41" t="n"/>
      <c r="C264" s="40" t="n"/>
      <c r="D264" s="41" t="n"/>
      <c r="E264" s="30">
        <f>IF($C264="","",IF($B264="YM",IFERROR(INDEX(機種マスタ!$I$4:$I$203,MATCH($C264,機種マスタ!$J$4:$J$203,0)),"未登録"),IFERROR(INDEX(機種マスタ!$A$4:$A$363,MATCH($C264,機種マスタ!$B$4:$B$363,0)),"未登録")))</f>
        <v/>
      </c>
      <c r="F264" s="30">
        <f>IF($C264="","",IF($B264="YM",IFERROR(INDEX(機種マスタ!$K$4:$K$203,MATCH($C264,機種マスタ!$J$4:$J$203,0)),"-"),IFERROR(INDEX(機種マスタ!$C$4:$C$363,MATCH($C264,機種マスタ!$B$4:$B$363,0)),"-")))</f>
        <v/>
      </c>
      <c r="G264" s="30">
        <f>IF($C264="","",IF($B264="YM",IFERROR(N(INDEX(機種マスタ!$L$4:$L$203,MATCH($C264,機種マスタ!$J$4:$J$203,0))),0),IFERROR(N(INDEX(機種マスタ!$D$4:$D$363,MATCH($C264,機種マスタ!$B$4:$B$363,0))),0)))</f>
        <v/>
      </c>
      <c r="H264" s="30">
        <f>IF($C264="","",IF($D264="",1,$D264))</f>
        <v/>
      </c>
      <c r="I264" s="30">
        <f>IF($C264="","",IF(G264&gt;0,(G264+IFERROR(VLOOKUP(F264,機種マスタ!$Q$4:$R$6,2,FALSE),0))*H264,0))</f>
        <v/>
      </c>
    </row>
    <row r="265">
      <c r="A265" s="56" t="n"/>
      <c r="B265" s="41" t="n"/>
      <c r="C265" s="40" t="n"/>
      <c r="D265" s="41" t="n"/>
      <c r="E265" s="30">
        <f>IF($C265="","",IF($B265="YM",IFERROR(INDEX(機種マスタ!$I$4:$I$203,MATCH($C265,機種マスタ!$J$4:$J$203,0)),"未登録"),IFERROR(INDEX(機種マスタ!$A$4:$A$363,MATCH($C265,機種マスタ!$B$4:$B$363,0)),"未登録")))</f>
        <v/>
      </c>
      <c r="F265" s="30">
        <f>IF($C265="","",IF($B265="YM",IFERROR(INDEX(機種マスタ!$K$4:$K$203,MATCH($C265,機種マスタ!$J$4:$J$203,0)),"-"),IFERROR(INDEX(機種マスタ!$C$4:$C$363,MATCH($C265,機種マスタ!$B$4:$B$363,0)),"-")))</f>
        <v/>
      </c>
      <c r="G265" s="30">
        <f>IF($C265="","",IF($B265="YM",IFERROR(N(INDEX(機種マスタ!$L$4:$L$203,MATCH($C265,機種マスタ!$J$4:$J$203,0))),0),IFERROR(N(INDEX(機種マスタ!$D$4:$D$363,MATCH($C265,機種マスタ!$B$4:$B$363,0))),0)))</f>
        <v/>
      </c>
      <c r="H265" s="30">
        <f>IF($C265="","",IF($D265="",1,$D265))</f>
        <v/>
      </c>
      <c r="I265" s="30">
        <f>IF($C265="","",IF(G265&gt;0,(G265+IFERROR(VLOOKUP(F265,機種マスタ!$Q$4:$R$6,2,FALSE),0))*H265,0))</f>
        <v/>
      </c>
    </row>
    <row r="266">
      <c r="A266" s="56" t="n"/>
      <c r="B266" s="41" t="n"/>
      <c r="C266" s="40" t="n"/>
      <c r="D266" s="41" t="n"/>
      <c r="E266" s="30">
        <f>IF($C266="","",IF($B266="YM",IFERROR(INDEX(機種マスタ!$I$4:$I$203,MATCH($C266,機種マスタ!$J$4:$J$203,0)),"未登録"),IFERROR(INDEX(機種マスタ!$A$4:$A$363,MATCH($C266,機種マスタ!$B$4:$B$363,0)),"未登録")))</f>
        <v/>
      </c>
      <c r="F266" s="30">
        <f>IF($C266="","",IF($B266="YM",IFERROR(INDEX(機種マスタ!$K$4:$K$203,MATCH($C266,機種マスタ!$J$4:$J$203,0)),"-"),IFERROR(INDEX(機種マスタ!$C$4:$C$363,MATCH($C266,機種マスタ!$B$4:$B$363,0)),"-")))</f>
        <v/>
      </c>
      <c r="G266" s="30">
        <f>IF($C266="","",IF($B266="YM",IFERROR(N(INDEX(機種マスタ!$L$4:$L$203,MATCH($C266,機種マスタ!$J$4:$J$203,0))),0),IFERROR(N(INDEX(機種マスタ!$D$4:$D$363,MATCH($C266,機種マスタ!$B$4:$B$363,0))),0)))</f>
        <v/>
      </c>
      <c r="H266" s="30">
        <f>IF($C266="","",IF($D266="",1,$D266))</f>
        <v/>
      </c>
      <c r="I266" s="30">
        <f>IF($C266="","",IF(G266&gt;0,(G266+IFERROR(VLOOKUP(F266,機種マスタ!$Q$4:$R$6,2,FALSE),0))*H266,0))</f>
        <v/>
      </c>
    </row>
    <row r="267">
      <c r="A267" s="56" t="n"/>
      <c r="B267" s="41" t="n"/>
      <c r="C267" s="40" t="n"/>
      <c r="D267" s="41" t="n"/>
      <c r="E267" s="30">
        <f>IF($C267="","",IF($B267="YM",IFERROR(INDEX(機種マスタ!$I$4:$I$203,MATCH($C267,機種マスタ!$J$4:$J$203,0)),"未登録"),IFERROR(INDEX(機種マスタ!$A$4:$A$363,MATCH($C267,機種マスタ!$B$4:$B$363,0)),"未登録")))</f>
        <v/>
      </c>
      <c r="F267" s="30">
        <f>IF($C267="","",IF($B267="YM",IFERROR(INDEX(機種マスタ!$K$4:$K$203,MATCH($C267,機種マスタ!$J$4:$J$203,0)),"-"),IFERROR(INDEX(機種マスタ!$C$4:$C$363,MATCH($C267,機種マスタ!$B$4:$B$363,0)),"-")))</f>
        <v/>
      </c>
      <c r="G267" s="30">
        <f>IF($C267="","",IF($B267="YM",IFERROR(N(INDEX(機種マスタ!$L$4:$L$203,MATCH($C267,機種マスタ!$J$4:$J$203,0))),0),IFERROR(N(INDEX(機種マスタ!$D$4:$D$363,MATCH($C267,機種マスタ!$B$4:$B$363,0))),0)))</f>
        <v/>
      </c>
      <c r="H267" s="30">
        <f>IF($C267="","",IF($D267="",1,$D267))</f>
        <v/>
      </c>
      <c r="I267" s="30">
        <f>IF($C267="","",IF(G267&gt;0,(G267+IFERROR(VLOOKUP(F267,機種マスタ!$Q$4:$R$6,2,FALSE),0))*H267,0))</f>
        <v/>
      </c>
    </row>
    <row r="268">
      <c r="A268" s="56" t="n"/>
      <c r="B268" s="41" t="n"/>
      <c r="C268" s="40" t="n"/>
      <c r="D268" s="41" t="n"/>
      <c r="E268" s="30">
        <f>IF($C268="","",IF($B268="YM",IFERROR(INDEX(機種マスタ!$I$4:$I$203,MATCH($C268,機種マスタ!$J$4:$J$203,0)),"未登録"),IFERROR(INDEX(機種マスタ!$A$4:$A$363,MATCH($C268,機種マスタ!$B$4:$B$363,0)),"未登録")))</f>
        <v/>
      </c>
      <c r="F268" s="30">
        <f>IF($C268="","",IF($B268="YM",IFERROR(INDEX(機種マスタ!$K$4:$K$203,MATCH($C268,機種マスタ!$J$4:$J$203,0)),"-"),IFERROR(INDEX(機種マスタ!$C$4:$C$363,MATCH($C268,機種マスタ!$B$4:$B$363,0)),"-")))</f>
        <v/>
      </c>
      <c r="G268" s="30">
        <f>IF($C268="","",IF($B268="YM",IFERROR(N(INDEX(機種マスタ!$L$4:$L$203,MATCH($C268,機種マスタ!$J$4:$J$203,0))),0),IFERROR(N(INDEX(機種マスタ!$D$4:$D$363,MATCH($C268,機種マスタ!$B$4:$B$363,0))),0)))</f>
        <v/>
      </c>
      <c r="H268" s="30">
        <f>IF($C268="","",IF($D268="",1,$D268))</f>
        <v/>
      </c>
      <c r="I268" s="30">
        <f>IF($C268="","",IF(G268&gt;0,(G268+IFERROR(VLOOKUP(F268,機種マスタ!$Q$4:$R$6,2,FALSE),0))*H268,0))</f>
        <v/>
      </c>
    </row>
    <row r="269">
      <c r="A269" s="56" t="n"/>
      <c r="B269" s="41" t="n"/>
      <c r="C269" s="40" t="n"/>
      <c r="D269" s="41" t="n"/>
      <c r="E269" s="30">
        <f>IF($C269="","",IF($B269="YM",IFERROR(INDEX(機種マスタ!$I$4:$I$203,MATCH($C269,機種マスタ!$J$4:$J$203,0)),"未登録"),IFERROR(INDEX(機種マスタ!$A$4:$A$363,MATCH($C269,機種マスタ!$B$4:$B$363,0)),"未登録")))</f>
        <v/>
      </c>
      <c r="F269" s="30">
        <f>IF($C269="","",IF($B269="YM",IFERROR(INDEX(機種マスタ!$K$4:$K$203,MATCH($C269,機種マスタ!$J$4:$J$203,0)),"-"),IFERROR(INDEX(機種マスタ!$C$4:$C$363,MATCH($C269,機種マスタ!$B$4:$B$363,0)),"-")))</f>
        <v/>
      </c>
      <c r="G269" s="30">
        <f>IF($C269="","",IF($B269="YM",IFERROR(N(INDEX(機種マスタ!$L$4:$L$203,MATCH($C269,機種マスタ!$J$4:$J$203,0))),0),IFERROR(N(INDEX(機種マスタ!$D$4:$D$363,MATCH($C269,機種マスタ!$B$4:$B$363,0))),0)))</f>
        <v/>
      </c>
      <c r="H269" s="30">
        <f>IF($C269="","",IF($D269="",1,$D269))</f>
        <v/>
      </c>
      <c r="I269" s="30">
        <f>IF($C269="","",IF(G269&gt;0,(G269+IFERROR(VLOOKUP(F269,機種マスタ!$Q$4:$R$6,2,FALSE),0))*H269,0))</f>
        <v/>
      </c>
    </row>
    <row r="270">
      <c r="A270" s="56" t="n"/>
      <c r="B270" s="41" t="n"/>
      <c r="C270" s="40" t="n"/>
      <c r="D270" s="41" t="n"/>
      <c r="E270" s="30">
        <f>IF($C270="","",IF($B270="YM",IFERROR(INDEX(機種マスタ!$I$4:$I$203,MATCH($C270,機種マスタ!$J$4:$J$203,0)),"未登録"),IFERROR(INDEX(機種マスタ!$A$4:$A$363,MATCH($C270,機種マスタ!$B$4:$B$363,0)),"未登録")))</f>
        <v/>
      </c>
      <c r="F270" s="30">
        <f>IF($C270="","",IF($B270="YM",IFERROR(INDEX(機種マスタ!$K$4:$K$203,MATCH($C270,機種マスタ!$J$4:$J$203,0)),"-"),IFERROR(INDEX(機種マスタ!$C$4:$C$363,MATCH($C270,機種マスタ!$B$4:$B$363,0)),"-")))</f>
        <v/>
      </c>
      <c r="G270" s="30">
        <f>IF($C270="","",IF($B270="YM",IFERROR(N(INDEX(機種マスタ!$L$4:$L$203,MATCH($C270,機種マスタ!$J$4:$J$203,0))),0),IFERROR(N(INDEX(機種マスタ!$D$4:$D$363,MATCH($C270,機種マスタ!$B$4:$B$363,0))),0)))</f>
        <v/>
      </c>
      <c r="H270" s="30">
        <f>IF($C270="","",IF($D270="",1,$D270))</f>
        <v/>
      </c>
      <c r="I270" s="30">
        <f>IF($C270="","",IF(G270&gt;0,(G270+IFERROR(VLOOKUP(F270,機種マスタ!$Q$4:$R$6,2,FALSE),0))*H270,0))</f>
        <v/>
      </c>
    </row>
    <row r="271">
      <c r="A271" s="56" t="n"/>
      <c r="B271" s="41" t="n"/>
      <c r="C271" s="40" t="n"/>
      <c r="D271" s="41" t="n"/>
      <c r="E271" s="30">
        <f>IF($C271="","",IF($B271="YM",IFERROR(INDEX(機種マスタ!$I$4:$I$203,MATCH($C271,機種マスタ!$J$4:$J$203,0)),"未登録"),IFERROR(INDEX(機種マスタ!$A$4:$A$363,MATCH($C271,機種マスタ!$B$4:$B$363,0)),"未登録")))</f>
        <v/>
      </c>
      <c r="F271" s="30">
        <f>IF($C271="","",IF($B271="YM",IFERROR(INDEX(機種マスタ!$K$4:$K$203,MATCH($C271,機種マスタ!$J$4:$J$203,0)),"-"),IFERROR(INDEX(機種マスタ!$C$4:$C$363,MATCH($C271,機種マスタ!$B$4:$B$363,0)),"-")))</f>
        <v/>
      </c>
      <c r="G271" s="30">
        <f>IF($C271="","",IF($B271="YM",IFERROR(N(INDEX(機種マスタ!$L$4:$L$203,MATCH($C271,機種マスタ!$J$4:$J$203,0))),0),IFERROR(N(INDEX(機種マスタ!$D$4:$D$363,MATCH($C271,機種マスタ!$B$4:$B$363,0))),0)))</f>
        <v/>
      </c>
      <c r="H271" s="30">
        <f>IF($C271="","",IF($D271="",1,$D271))</f>
        <v/>
      </c>
      <c r="I271" s="30">
        <f>IF($C271="","",IF(G271&gt;0,(G271+IFERROR(VLOOKUP(F271,機種マスタ!$Q$4:$R$6,2,FALSE),0))*H271,0))</f>
        <v/>
      </c>
    </row>
    <row r="272">
      <c r="A272" s="56" t="n"/>
      <c r="B272" s="41" t="n"/>
      <c r="C272" s="40" t="n"/>
      <c r="D272" s="41" t="n"/>
      <c r="E272" s="30">
        <f>IF($C272="","",IF($B272="YM",IFERROR(INDEX(機種マスタ!$I$4:$I$203,MATCH($C272,機種マスタ!$J$4:$J$203,0)),"未登録"),IFERROR(INDEX(機種マスタ!$A$4:$A$363,MATCH($C272,機種マスタ!$B$4:$B$363,0)),"未登録")))</f>
        <v/>
      </c>
      <c r="F272" s="30">
        <f>IF($C272="","",IF($B272="YM",IFERROR(INDEX(機種マスタ!$K$4:$K$203,MATCH($C272,機種マスタ!$J$4:$J$203,0)),"-"),IFERROR(INDEX(機種マスタ!$C$4:$C$363,MATCH($C272,機種マスタ!$B$4:$B$363,0)),"-")))</f>
        <v/>
      </c>
      <c r="G272" s="30">
        <f>IF($C272="","",IF($B272="YM",IFERROR(N(INDEX(機種マスタ!$L$4:$L$203,MATCH($C272,機種マスタ!$J$4:$J$203,0))),0),IFERROR(N(INDEX(機種マスタ!$D$4:$D$363,MATCH($C272,機種マスタ!$B$4:$B$363,0))),0)))</f>
        <v/>
      </c>
      <c r="H272" s="30">
        <f>IF($C272="","",IF($D272="",1,$D272))</f>
        <v/>
      </c>
      <c r="I272" s="30">
        <f>IF($C272="","",IF(G272&gt;0,(G272+IFERROR(VLOOKUP(F272,機種マスタ!$Q$4:$R$6,2,FALSE),0))*H272,0))</f>
        <v/>
      </c>
    </row>
    <row r="273">
      <c r="A273" s="56" t="n"/>
      <c r="B273" s="41" t="n"/>
      <c r="C273" s="40" t="n"/>
      <c r="D273" s="41" t="n"/>
      <c r="E273" s="30">
        <f>IF($C273="","",IF($B273="YM",IFERROR(INDEX(機種マスタ!$I$4:$I$203,MATCH($C273,機種マスタ!$J$4:$J$203,0)),"未登録"),IFERROR(INDEX(機種マスタ!$A$4:$A$363,MATCH($C273,機種マスタ!$B$4:$B$363,0)),"未登録")))</f>
        <v/>
      </c>
      <c r="F273" s="30">
        <f>IF($C273="","",IF($B273="YM",IFERROR(INDEX(機種マスタ!$K$4:$K$203,MATCH($C273,機種マスタ!$J$4:$J$203,0)),"-"),IFERROR(INDEX(機種マスタ!$C$4:$C$363,MATCH($C273,機種マスタ!$B$4:$B$363,0)),"-")))</f>
        <v/>
      </c>
      <c r="G273" s="30">
        <f>IF($C273="","",IF($B273="YM",IFERROR(N(INDEX(機種マスタ!$L$4:$L$203,MATCH($C273,機種マスタ!$J$4:$J$203,0))),0),IFERROR(N(INDEX(機種マスタ!$D$4:$D$363,MATCH($C273,機種マスタ!$B$4:$B$363,0))),0)))</f>
        <v/>
      </c>
      <c r="H273" s="30">
        <f>IF($C273="","",IF($D273="",1,$D273))</f>
        <v/>
      </c>
      <c r="I273" s="30">
        <f>IF($C273="","",IF(G273&gt;0,(G273+IFERROR(VLOOKUP(F273,機種マスタ!$Q$4:$R$6,2,FALSE),0))*H273,0))</f>
        <v/>
      </c>
    </row>
    <row r="274">
      <c r="A274" s="56" t="n"/>
      <c r="B274" s="41" t="n"/>
      <c r="C274" s="40" t="n"/>
      <c r="D274" s="41" t="n"/>
      <c r="E274" s="30">
        <f>IF($C274="","",IF($B274="YM",IFERROR(INDEX(機種マスタ!$I$4:$I$203,MATCH($C274,機種マスタ!$J$4:$J$203,0)),"未登録"),IFERROR(INDEX(機種マスタ!$A$4:$A$363,MATCH($C274,機種マスタ!$B$4:$B$363,0)),"未登録")))</f>
        <v/>
      </c>
      <c r="F274" s="30">
        <f>IF($C274="","",IF($B274="YM",IFERROR(INDEX(機種マスタ!$K$4:$K$203,MATCH($C274,機種マスタ!$J$4:$J$203,0)),"-"),IFERROR(INDEX(機種マスタ!$C$4:$C$363,MATCH($C274,機種マスタ!$B$4:$B$363,0)),"-")))</f>
        <v/>
      </c>
      <c r="G274" s="30">
        <f>IF($C274="","",IF($B274="YM",IFERROR(N(INDEX(機種マスタ!$L$4:$L$203,MATCH($C274,機種マスタ!$J$4:$J$203,0))),0),IFERROR(N(INDEX(機種マスタ!$D$4:$D$363,MATCH($C274,機種マスタ!$B$4:$B$363,0))),0)))</f>
        <v/>
      </c>
      <c r="H274" s="30">
        <f>IF($C274="","",IF($D274="",1,$D274))</f>
        <v/>
      </c>
      <c r="I274" s="30">
        <f>IF($C274="","",IF(G274&gt;0,(G274+IFERROR(VLOOKUP(F274,機種マスタ!$Q$4:$R$6,2,FALSE),0))*H274,0))</f>
        <v/>
      </c>
    </row>
    <row r="275">
      <c r="A275" s="56" t="n"/>
      <c r="B275" s="41" t="n"/>
      <c r="C275" s="40" t="n"/>
      <c r="D275" s="41" t="n"/>
      <c r="E275" s="30">
        <f>IF($C275="","",IF($B275="YM",IFERROR(INDEX(機種マスタ!$I$4:$I$203,MATCH($C275,機種マスタ!$J$4:$J$203,0)),"未登録"),IFERROR(INDEX(機種マスタ!$A$4:$A$363,MATCH($C275,機種マスタ!$B$4:$B$363,0)),"未登録")))</f>
        <v/>
      </c>
      <c r="F275" s="30">
        <f>IF($C275="","",IF($B275="YM",IFERROR(INDEX(機種マスタ!$K$4:$K$203,MATCH($C275,機種マスタ!$J$4:$J$203,0)),"-"),IFERROR(INDEX(機種マスタ!$C$4:$C$363,MATCH($C275,機種マスタ!$B$4:$B$363,0)),"-")))</f>
        <v/>
      </c>
      <c r="G275" s="30">
        <f>IF($C275="","",IF($B275="YM",IFERROR(N(INDEX(機種マスタ!$L$4:$L$203,MATCH($C275,機種マスタ!$J$4:$J$203,0))),0),IFERROR(N(INDEX(機種マスタ!$D$4:$D$363,MATCH($C275,機種マスタ!$B$4:$B$363,0))),0)))</f>
        <v/>
      </c>
      <c r="H275" s="30">
        <f>IF($C275="","",IF($D275="",1,$D275))</f>
        <v/>
      </c>
      <c r="I275" s="30">
        <f>IF($C275="","",IF(G275&gt;0,(G275+IFERROR(VLOOKUP(F275,機種マスタ!$Q$4:$R$6,2,FALSE),0))*H275,0))</f>
        <v/>
      </c>
    </row>
    <row r="276">
      <c r="A276" s="56" t="n"/>
      <c r="B276" s="41" t="n"/>
      <c r="C276" s="40" t="n"/>
      <c r="D276" s="41" t="n"/>
      <c r="E276" s="30">
        <f>IF($C276="","",IF($B276="YM",IFERROR(INDEX(機種マスタ!$I$4:$I$203,MATCH($C276,機種マスタ!$J$4:$J$203,0)),"未登録"),IFERROR(INDEX(機種マスタ!$A$4:$A$363,MATCH($C276,機種マスタ!$B$4:$B$363,0)),"未登録")))</f>
        <v/>
      </c>
      <c r="F276" s="30">
        <f>IF($C276="","",IF($B276="YM",IFERROR(INDEX(機種マスタ!$K$4:$K$203,MATCH($C276,機種マスタ!$J$4:$J$203,0)),"-"),IFERROR(INDEX(機種マスタ!$C$4:$C$363,MATCH($C276,機種マスタ!$B$4:$B$363,0)),"-")))</f>
        <v/>
      </c>
      <c r="G276" s="30">
        <f>IF($C276="","",IF($B276="YM",IFERROR(N(INDEX(機種マスタ!$L$4:$L$203,MATCH($C276,機種マスタ!$J$4:$J$203,0))),0),IFERROR(N(INDEX(機種マスタ!$D$4:$D$363,MATCH($C276,機種マスタ!$B$4:$B$363,0))),0)))</f>
        <v/>
      </c>
      <c r="H276" s="30">
        <f>IF($C276="","",IF($D276="",1,$D276))</f>
        <v/>
      </c>
      <c r="I276" s="30">
        <f>IF($C276="","",IF(G276&gt;0,(G276+IFERROR(VLOOKUP(F276,機種マスタ!$Q$4:$R$6,2,FALSE),0))*H276,0))</f>
        <v/>
      </c>
    </row>
    <row r="277">
      <c r="A277" s="56" t="n"/>
      <c r="B277" s="41" t="n"/>
      <c r="C277" s="40" t="n"/>
      <c r="D277" s="41" t="n"/>
      <c r="E277" s="30">
        <f>IF($C277="","",IF($B277="YM",IFERROR(INDEX(機種マスタ!$I$4:$I$203,MATCH($C277,機種マスタ!$J$4:$J$203,0)),"未登録"),IFERROR(INDEX(機種マスタ!$A$4:$A$363,MATCH($C277,機種マスタ!$B$4:$B$363,0)),"未登録")))</f>
        <v/>
      </c>
      <c r="F277" s="30">
        <f>IF($C277="","",IF($B277="YM",IFERROR(INDEX(機種マスタ!$K$4:$K$203,MATCH($C277,機種マスタ!$J$4:$J$203,0)),"-"),IFERROR(INDEX(機種マスタ!$C$4:$C$363,MATCH($C277,機種マスタ!$B$4:$B$363,0)),"-")))</f>
        <v/>
      </c>
      <c r="G277" s="30">
        <f>IF($C277="","",IF($B277="YM",IFERROR(N(INDEX(機種マスタ!$L$4:$L$203,MATCH($C277,機種マスタ!$J$4:$J$203,0))),0),IFERROR(N(INDEX(機種マスタ!$D$4:$D$363,MATCH($C277,機種マスタ!$B$4:$B$363,0))),0)))</f>
        <v/>
      </c>
      <c r="H277" s="30">
        <f>IF($C277="","",IF($D277="",1,$D277))</f>
        <v/>
      </c>
      <c r="I277" s="30">
        <f>IF($C277="","",IF(G277&gt;0,(G277+IFERROR(VLOOKUP(F277,機種マスタ!$Q$4:$R$6,2,FALSE),0))*H277,0))</f>
        <v/>
      </c>
    </row>
    <row r="278">
      <c r="A278" s="56" t="n"/>
      <c r="B278" s="41" t="n"/>
      <c r="C278" s="40" t="n"/>
      <c r="D278" s="41" t="n"/>
      <c r="E278" s="30">
        <f>IF($C278="","",IF($B278="YM",IFERROR(INDEX(機種マスタ!$I$4:$I$203,MATCH($C278,機種マスタ!$J$4:$J$203,0)),"未登録"),IFERROR(INDEX(機種マスタ!$A$4:$A$363,MATCH($C278,機種マスタ!$B$4:$B$363,0)),"未登録")))</f>
        <v/>
      </c>
      <c r="F278" s="30">
        <f>IF($C278="","",IF($B278="YM",IFERROR(INDEX(機種マスタ!$K$4:$K$203,MATCH($C278,機種マスタ!$J$4:$J$203,0)),"-"),IFERROR(INDEX(機種マスタ!$C$4:$C$363,MATCH($C278,機種マスタ!$B$4:$B$363,0)),"-")))</f>
        <v/>
      </c>
      <c r="G278" s="30">
        <f>IF($C278="","",IF($B278="YM",IFERROR(N(INDEX(機種マスタ!$L$4:$L$203,MATCH($C278,機種マスタ!$J$4:$J$203,0))),0),IFERROR(N(INDEX(機種マスタ!$D$4:$D$363,MATCH($C278,機種マスタ!$B$4:$B$363,0))),0)))</f>
        <v/>
      </c>
      <c r="H278" s="30">
        <f>IF($C278="","",IF($D278="",1,$D278))</f>
        <v/>
      </c>
      <c r="I278" s="30">
        <f>IF($C278="","",IF(G278&gt;0,(G278+IFERROR(VLOOKUP(F278,機種マスタ!$Q$4:$R$6,2,FALSE),0))*H278,0))</f>
        <v/>
      </c>
    </row>
    <row r="279">
      <c r="A279" s="56" t="n"/>
      <c r="B279" s="41" t="n"/>
      <c r="C279" s="40" t="n"/>
      <c r="D279" s="41" t="n"/>
      <c r="E279" s="30">
        <f>IF($C279="","",IF($B279="YM",IFERROR(INDEX(機種マスタ!$I$4:$I$203,MATCH($C279,機種マスタ!$J$4:$J$203,0)),"未登録"),IFERROR(INDEX(機種マスタ!$A$4:$A$363,MATCH($C279,機種マスタ!$B$4:$B$363,0)),"未登録")))</f>
        <v/>
      </c>
      <c r="F279" s="30">
        <f>IF($C279="","",IF($B279="YM",IFERROR(INDEX(機種マスタ!$K$4:$K$203,MATCH($C279,機種マスタ!$J$4:$J$203,0)),"-"),IFERROR(INDEX(機種マスタ!$C$4:$C$363,MATCH($C279,機種マスタ!$B$4:$B$363,0)),"-")))</f>
        <v/>
      </c>
      <c r="G279" s="30">
        <f>IF($C279="","",IF($B279="YM",IFERROR(N(INDEX(機種マスタ!$L$4:$L$203,MATCH($C279,機種マスタ!$J$4:$J$203,0))),0),IFERROR(N(INDEX(機種マスタ!$D$4:$D$363,MATCH($C279,機種マスタ!$B$4:$B$363,0))),0)))</f>
        <v/>
      </c>
      <c r="H279" s="30">
        <f>IF($C279="","",IF($D279="",1,$D279))</f>
        <v/>
      </c>
      <c r="I279" s="30">
        <f>IF($C279="","",IF(G279&gt;0,(G279+IFERROR(VLOOKUP(F279,機種マスタ!$Q$4:$R$6,2,FALSE),0))*H279,0))</f>
        <v/>
      </c>
    </row>
    <row r="280">
      <c r="A280" s="56" t="n"/>
      <c r="B280" s="41" t="n"/>
      <c r="C280" s="40" t="n"/>
      <c r="D280" s="41" t="n"/>
      <c r="E280" s="30">
        <f>IF($C280="","",IF($B280="YM",IFERROR(INDEX(機種マスタ!$I$4:$I$203,MATCH($C280,機種マスタ!$J$4:$J$203,0)),"未登録"),IFERROR(INDEX(機種マスタ!$A$4:$A$363,MATCH($C280,機種マスタ!$B$4:$B$363,0)),"未登録")))</f>
        <v/>
      </c>
      <c r="F280" s="30">
        <f>IF($C280="","",IF($B280="YM",IFERROR(INDEX(機種マスタ!$K$4:$K$203,MATCH($C280,機種マスタ!$J$4:$J$203,0)),"-"),IFERROR(INDEX(機種マスタ!$C$4:$C$363,MATCH($C280,機種マスタ!$B$4:$B$363,0)),"-")))</f>
        <v/>
      </c>
      <c r="G280" s="30">
        <f>IF($C280="","",IF($B280="YM",IFERROR(N(INDEX(機種マスタ!$L$4:$L$203,MATCH($C280,機種マスタ!$J$4:$J$203,0))),0),IFERROR(N(INDEX(機種マスタ!$D$4:$D$363,MATCH($C280,機種マスタ!$B$4:$B$363,0))),0)))</f>
        <v/>
      </c>
      <c r="H280" s="30">
        <f>IF($C280="","",IF($D280="",1,$D280))</f>
        <v/>
      </c>
      <c r="I280" s="30">
        <f>IF($C280="","",IF(G280&gt;0,(G280+IFERROR(VLOOKUP(F280,機種マスタ!$Q$4:$R$6,2,FALSE),0))*H280,0))</f>
        <v/>
      </c>
    </row>
    <row r="281">
      <c r="A281" s="56" t="n"/>
      <c r="B281" s="41" t="n"/>
      <c r="C281" s="40" t="n"/>
      <c r="D281" s="41" t="n"/>
      <c r="E281" s="30">
        <f>IF($C281="","",IF($B281="YM",IFERROR(INDEX(機種マスタ!$I$4:$I$203,MATCH($C281,機種マスタ!$J$4:$J$203,0)),"未登録"),IFERROR(INDEX(機種マスタ!$A$4:$A$363,MATCH($C281,機種マスタ!$B$4:$B$363,0)),"未登録")))</f>
        <v/>
      </c>
      <c r="F281" s="30">
        <f>IF($C281="","",IF($B281="YM",IFERROR(INDEX(機種マスタ!$K$4:$K$203,MATCH($C281,機種マスタ!$J$4:$J$203,0)),"-"),IFERROR(INDEX(機種マスタ!$C$4:$C$363,MATCH($C281,機種マスタ!$B$4:$B$363,0)),"-")))</f>
        <v/>
      </c>
      <c r="G281" s="30">
        <f>IF($C281="","",IF($B281="YM",IFERROR(N(INDEX(機種マスタ!$L$4:$L$203,MATCH($C281,機種マスタ!$J$4:$J$203,0))),0),IFERROR(N(INDEX(機種マスタ!$D$4:$D$363,MATCH($C281,機種マスタ!$B$4:$B$363,0))),0)))</f>
        <v/>
      </c>
      <c r="H281" s="30">
        <f>IF($C281="","",IF($D281="",1,$D281))</f>
        <v/>
      </c>
      <c r="I281" s="30">
        <f>IF($C281="","",IF(G281&gt;0,(G281+IFERROR(VLOOKUP(F281,機種マスタ!$Q$4:$R$6,2,FALSE),0))*H281,0))</f>
        <v/>
      </c>
    </row>
    <row r="282">
      <c r="A282" s="56" t="n"/>
      <c r="B282" s="41" t="n"/>
      <c r="C282" s="40" t="n"/>
      <c r="D282" s="41" t="n"/>
      <c r="E282" s="30">
        <f>IF($C282="","",IF($B282="YM",IFERROR(INDEX(機種マスタ!$I$4:$I$203,MATCH($C282,機種マスタ!$J$4:$J$203,0)),"未登録"),IFERROR(INDEX(機種マスタ!$A$4:$A$363,MATCH($C282,機種マスタ!$B$4:$B$363,0)),"未登録")))</f>
        <v/>
      </c>
      <c r="F282" s="30">
        <f>IF($C282="","",IF($B282="YM",IFERROR(INDEX(機種マスタ!$K$4:$K$203,MATCH($C282,機種マスタ!$J$4:$J$203,0)),"-"),IFERROR(INDEX(機種マスタ!$C$4:$C$363,MATCH($C282,機種マスタ!$B$4:$B$363,0)),"-")))</f>
        <v/>
      </c>
      <c r="G282" s="30">
        <f>IF($C282="","",IF($B282="YM",IFERROR(N(INDEX(機種マスタ!$L$4:$L$203,MATCH($C282,機種マスタ!$J$4:$J$203,0))),0),IFERROR(N(INDEX(機種マスタ!$D$4:$D$363,MATCH($C282,機種マスタ!$B$4:$B$363,0))),0)))</f>
        <v/>
      </c>
      <c r="H282" s="30">
        <f>IF($C282="","",IF($D282="",1,$D282))</f>
        <v/>
      </c>
      <c r="I282" s="30">
        <f>IF($C282="","",IF(G282&gt;0,(G282+IFERROR(VLOOKUP(F282,機種マスタ!$Q$4:$R$6,2,FALSE),0))*H282,0))</f>
        <v/>
      </c>
    </row>
    <row r="283">
      <c r="A283" s="56" t="n"/>
      <c r="B283" s="41" t="n"/>
      <c r="C283" s="40" t="n"/>
      <c r="D283" s="41" t="n"/>
      <c r="E283" s="30">
        <f>IF($C283="","",IF($B283="YM",IFERROR(INDEX(機種マスタ!$I$4:$I$203,MATCH($C283,機種マスタ!$J$4:$J$203,0)),"未登録"),IFERROR(INDEX(機種マスタ!$A$4:$A$363,MATCH($C283,機種マスタ!$B$4:$B$363,0)),"未登録")))</f>
        <v/>
      </c>
      <c r="F283" s="30">
        <f>IF($C283="","",IF($B283="YM",IFERROR(INDEX(機種マスタ!$K$4:$K$203,MATCH($C283,機種マスタ!$J$4:$J$203,0)),"-"),IFERROR(INDEX(機種マスタ!$C$4:$C$363,MATCH($C283,機種マスタ!$B$4:$B$363,0)),"-")))</f>
        <v/>
      </c>
      <c r="G283" s="30">
        <f>IF($C283="","",IF($B283="YM",IFERROR(N(INDEX(機種マスタ!$L$4:$L$203,MATCH($C283,機種マスタ!$J$4:$J$203,0))),0),IFERROR(N(INDEX(機種マスタ!$D$4:$D$363,MATCH($C283,機種マスタ!$B$4:$B$363,0))),0)))</f>
        <v/>
      </c>
      <c r="H283" s="30">
        <f>IF($C283="","",IF($D283="",1,$D283))</f>
        <v/>
      </c>
      <c r="I283" s="30">
        <f>IF($C283="","",IF(G283&gt;0,(G283+IFERROR(VLOOKUP(F283,機種マスタ!$Q$4:$R$6,2,FALSE),0))*H283,0))</f>
        <v/>
      </c>
    </row>
    <row r="284">
      <c r="A284" s="56" t="n"/>
      <c r="B284" s="41" t="n"/>
      <c r="C284" s="40" t="n"/>
      <c r="D284" s="41" t="n"/>
      <c r="E284" s="30">
        <f>IF($C284="","",IF($B284="YM",IFERROR(INDEX(機種マスタ!$I$4:$I$203,MATCH($C284,機種マスタ!$J$4:$J$203,0)),"未登録"),IFERROR(INDEX(機種マスタ!$A$4:$A$363,MATCH($C284,機種マスタ!$B$4:$B$363,0)),"未登録")))</f>
        <v/>
      </c>
      <c r="F284" s="30">
        <f>IF($C284="","",IF($B284="YM",IFERROR(INDEX(機種マスタ!$K$4:$K$203,MATCH($C284,機種マスタ!$J$4:$J$203,0)),"-"),IFERROR(INDEX(機種マスタ!$C$4:$C$363,MATCH($C284,機種マスタ!$B$4:$B$363,0)),"-")))</f>
        <v/>
      </c>
      <c r="G284" s="30">
        <f>IF($C284="","",IF($B284="YM",IFERROR(N(INDEX(機種マスタ!$L$4:$L$203,MATCH($C284,機種マスタ!$J$4:$J$203,0))),0),IFERROR(N(INDEX(機種マスタ!$D$4:$D$363,MATCH($C284,機種マスタ!$B$4:$B$363,0))),0)))</f>
        <v/>
      </c>
      <c r="H284" s="30">
        <f>IF($C284="","",IF($D284="",1,$D284))</f>
        <v/>
      </c>
      <c r="I284" s="30">
        <f>IF($C284="","",IF(G284&gt;0,(G284+IFERROR(VLOOKUP(F284,機種マスタ!$Q$4:$R$6,2,FALSE),0))*H284,0))</f>
        <v/>
      </c>
    </row>
    <row r="285">
      <c r="A285" s="56" t="n"/>
      <c r="B285" s="41" t="n"/>
      <c r="C285" s="40" t="n"/>
      <c r="D285" s="41" t="n"/>
      <c r="E285" s="30">
        <f>IF($C285="","",IF($B285="YM",IFERROR(INDEX(機種マスタ!$I$4:$I$203,MATCH($C285,機種マスタ!$J$4:$J$203,0)),"未登録"),IFERROR(INDEX(機種マスタ!$A$4:$A$363,MATCH($C285,機種マスタ!$B$4:$B$363,0)),"未登録")))</f>
        <v/>
      </c>
      <c r="F285" s="30">
        <f>IF($C285="","",IF($B285="YM",IFERROR(INDEX(機種マスタ!$K$4:$K$203,MATCH($C285,機種マスタ!$J$4:$J$203,0)),"-"),IFERROR(INDEX(機種マスタ!$C$4:$C$363,MATCH($C285,機種マスタ!$B$4:$B$363,0)),"-")))</f>
        <v/>
      </c>
      <c r="G285" s="30">
        <f>IF($C285="","",IF($B285="YM",IFERROR(N(INDEX(機種マスタ!$L$4:$L$203,MATCH($C285,機種マスタ!$J$4:$J$203,0))),0),IFERROR(N(INDEX(機種マスタ!$D$4:$D$363,MATCH($C285,機種マスタ!$B$4:$B$363,0))),0)))</f>
        <v/>
      </c>
      <c r="H285" s="30">
        <f>IF($C285="","",IF($D285="",1,$D285))</f>
        <v/>
      </c>
      <c r="I285" s="30">
        <f>IF($C285="","",IF(G285&gt;0,(G285+IFERROR(VLOOKUP(F285,機種マスタ!$Q$4:$R$6,2,FALSE),0))*H285,0))</f>
        <v/>
      </c>
    </row>
    <row r="286">
      <c r="A286" s="56" t="n"/>
      <c r="B286" s="41" t="n"/>
      <c r="C286" s="40" t="n"/>
      <c r="D286" s="41" t="n"/>
      <c r="E286" s="30">
        <f>IF($C286="","",IF($B286="YM",IFERROR(INDEX(機種マスタ!$I$4:$I$203,MATCH($C286,機種マスタ!$J$4:$J$203,0)),"未登録"),IFERROR(INDEX(機種マスタ!$A$4:$A$363,MATCH($C286,機種マスタ!$B$4:$B$363,0)),"未登録")))</f>
        <v/>
      </c>
      <c r="F286" s="30">
        <f>IF($C286="","",IF($B286="YM",IFERROR(INDEX(機種マスタ!$K$4:$K$203,MATCH($C286,機種マスタ!$J$4:$J$203,0)),"-"),IFERROR(INDEX(機種マスタ!$C$4:$C$363,MATCH($C286,機種マスタ!$B$4:$B$363,0)),"-")))</f>
        <v/>
      </c>
      <c r="G286" s="30">
        <f>IF($C286="","",IF($B286="YM",IFERROR(N(INDEX(機種マスタ!$L$4:$L$203,MATCH($C286,機種マスタ!$J$4:$J$203,0))),0),IFERROR(N(INDEX(機種マスタ!$D$4:$D$363,MATCH($C286,機種マスタ!$B$4:$B$363,0))),0)))</f>
        <v/>
      </c>
      <c r="H286" s="30">
        <f>IF($C286="","",IF($D286="",1,$D286))</f>
        <v/>
      </c>
      <c r="I286" s="30">
        <f>IF($C286="","",IF(G286&gt;0,(G286+IFERROR(VLOOKUP(F286,機種マスタ!$Q$4:$R$6,2,FALSE),0))*H286,0))</f>
        <v/>
      </c>
    </row>
    <row r="287">
      <c r="A287" s="56" t="n"/>
      <c r="B287" s="41" t="n"/>
      <c r="C287" s="40" t="n"/>
      <c r="D287" s="41" t="n"/>
      <c r="E287" s="30">
        <f>IF($C287="","",IF($B287="YM",IFERROR(INDEX(機種マスタ!$I$4:$I$203,MATCH($C287,機種マスタ!$J$4:$J$203,0)),"未登録"),IFERROR(INDEX(機種マスタ!$A$4:$A$363,MATCH($C287,機種マスタ!$B$4:$B$363,0)),"未登録")))</f>
        <v/>
      </c>
      <c r="F287" s="30">
        <f>IF($C287="","",IF($B287="YM",IFERROR(INDEX(機種マスタ!$K$4:$K$203,MATCH($C287,機種マスタ!$J$4:$J$203,0)),"-"),IFERROR(INDEX(機種マスタ!$C$4:$C$363,MATCH($C287,機種マスタ!$B$4:$B$363,0)),"-")))</f>
        <v/>
      </c>
      <c r="G287" s="30">
        <f>IF($C287="","",IF($B287="YM",IFERROR(N(INDEX(機種マスタ!$L$4:$L$203,MATCH($C287,機種マスタ!$J$4:$J$203,0))),0),IFERROR(N(INDEX(機種マスタ!$D$4:$D$363,MATCH($C287,機種マスタ!$B$4:$B$363,0))),0)))</f>
        <v/>
      </c>
      <c r="H287" s="30">
        <f>IF($C287="","",IF($D287="",1,$D287))</f>
        <v/>
      </c>
      <c r="I287" s="30">
        <f>IF($C287="","",IF(G287&gt;0,(G287+IFERROR(VLOOKUP(F287,機種マスタ!$Q$4:$R$6,2,FALSE),0))*H287,0))</f>
        <v/>
      </c>
    </row>
    <row r="288">
      <c r="A288" s="56" t="n"/>
      <c r="B288" s="41" t="n"/>
      <c r="C288" s="40" t="n"/>
      <c r="D288" s="41" t="n"/>
      <c r="E288" s="30">
        <f>IF($C288="","",IF($B288="YM",IFERROR(INDEX(機種マスタ!$I$4:$I$203,MATCH($C288,機種マスタ!$J$4:$J$203,0)),"未登録"),IFERROR(INDEX(機種マスタ!$A$4:$A$363,MATCH($C288,機種マスタ!$B$4:$B$363,0)),"未登録")))</f>
        <v/>
      </c>
      <c r="F288" s="30">
        <f>IF($C288="","",IF($B288="YM",IFERROR(INDEX(機種マスタ!$K$4:$K$203,MATCH($C288,機種マスタ!$J$4:$J$203,0)),"-"),IFERROR(INDEX(機種マスタ!$C$4:$C$363,MATCH($C288,機種マスタ!$B$4:$B$363,0)),"-")))</f>
        <v/>
      </c>
      <c r="G288" s="30">
        <f>IF($C288="","",IF($B288="YM",IFERROR(N(INDEX(機種マスタ!$L$4:$L$203,MATCH($C288,機種マスタ!$J$4:$J$203,0))),0),IFERROR(N(INDEX(機種マスタ!$D$4:$D$363,MATCH($C288,機種マスタ!$B$4:$B$363,0))),0)))</f>
        <v/>
      </c>
      <c r="H288" s="30">
        <f>IF($C288="","",IF($D288="",1,$D288))</f>
        <v/>
      </c>
      <c r="I288" s="30">
        <f>IF($C288="","",IF(G288&gt;0,(G288+IFERROR(VLOOKUP(F288,機種マスタ!$Q$4:$R$6,2,FALSE),0))*H288,0))</f>
        <v/>
      </c>
    </row>
    <row r="289">
      <c r="A289" s="56" t="n"/>
      <c r="B289" s="41" t="n"/>
      <c r="C289" s="40" t="n"/>
      <c r="D289" s="41" t="n"/>
      <c r="E289" s="30">
        <f>IF($C289="","",IF($B289="YM",IFERROR(INDEX(機種マスタ!$I$4:$I$203,MATCH($C289,機種マスタ!$J$4:$J$203,0)),"未登録"),IFERROR(INDEX(機種マスタ!$A$4:$A$363,MATCH($C289,機種マスタ!$B$4:$B$363,0)),"未登録")))</f>
        <v/>
      </c>
      <c r="F289" s="30">
        <f>IF($C289="","",IF($B289="YM",IFERROR(INDEX(機種マスタ!$K$4:$K$203,MATCH($C289,機種マスタ!$J$4:$J$203,0)),"-"),IFERROR(INDEX(機種マスタ!$C$4:$C$363,MATCH($C289,機種マスタ!$B$4:$B$363,0)),"-")))</f>
        <v/>
      </c>
      <c r="G289" s="30">
        <f>IF($C289="","",IF($B289="YM",IFERROR(N(INDEX(機種マスタ!$L$4:$L$203,MATCH($C289,機種マスタ!$J$4:$J$203,0))),0),IFERROR(N(INDEX(機種マスタ!$D$4:$D$363,MATCH($C289,機種マスタ!$B$4:$B$363,0))),0)))</f>
        <v/>
      </c>
      <c r="H289" s="30">
        <f>IF($C289="","",IF($D289="",1,$D289))</f>
        <v/>
      </c>
      <c r="I289" s="30">
        <f>IF($C289="","",IF(G289&gt;0,(G289+IFERROR(VLOOKUP(F289,機種マスタ!$Q$4:$R$6,2,FALSE),0))*H289,0))</f>
        <v/>
      </c>
    </row>
    <row r="290">
      <c r="A290" s="56" t="n"/>
      <c r="B290" s="41" t="n"/>
      <c r="C290" s="40" t="n"/>
      <c r="D290" s="41" t="n"/>
      <c r="E290" s="30">
        <f>IF($C290="","",IF($B290="YM",IFERROR(INDEX(機種マスタ!$I$4:$I$203,MATCH($C290,機種マスタ!$J$4:$J$203,0)),"未登録"),IFERROR(INDEX(機種マスタ!$A$4:$A$363,MATCH($C290,機種マスタ!$B$4:$B$363,0)),"未登録")))</f>
        <v/>
      </c>
      <c r="F290" s="30">
        <f>IF($C290="","",IF($B290="YM",IFERROR(INDEX(機種マスタ!$K$4:$K$203,MATCH($C290,機種マスタ!$J$4:$J$203,0)),"-"),IFERROR(INDEX(機種マスタ!$C$4:$C$363,MATCH($C290,機種マスタ!$B$4:$B$363,0)),"-")))</f>
        <v/>
      </c>
      <c r="G290" s="30">
        <f>IF($C290="","",IF($B290="YM",IFERROR(N(INDEX(機種マスタ!$L$4:$L$203,MATCH($C290,機種マスタ!$J$4:$J$203,0))),0),IFERROR(N(INDEX(機種マスタ!$D$4:$D$363,MATCH($C290,機種マスタ!$B$4:$B$363,0))),0)))</f>
        <v/>
      </c>
      <c r="H290" s="30">
        <f>IF($C290="","",IF($D290="",1,$D290))</f>
        <v/>
      </c>
      <c r="I290" s="30">
        <f>IF($C290="","",IF(G290&gt;0,(G290+IFERROR(VLOOKUP(F290,機種マスタ!$Q$4:$R$6,2,FALSE),0))*H290,0))</f>
        <v/>
      </c>
    </row>
    <row r="291">
      <c r="A291" s="56" t="n"/>
      <c r="B291" s="41" t="n"/>
      <c r="C291" s="40" t="n"/>
      <c r="D291" s="41" t="n"/>
      <c r="E291" s="30">
        <f>IF($C291="","",IF($B291="YM",IFERROR(INDEX(機種マスタ!$I$4:$I$203,MATCH($C291,機種マスタ!$J$4:$J$203,0)),"未登録"),IFERROR(INDEX(機種マスタ!$A$4:$A$363,MATCH($C291,機種マスタ!$B$4:$B$363,0)),"未登録")))</f>
        <v/>
      </c>
      <c r="F291" s="30">
        <f>IF($C291="","",IF($B291="YM",IFERROR(INDEX(機種マスタ!$K$4:$K$203,MATCH($C291,機種マスタ!$J$4:$J$203,0)),"-"),IFERROR(INDEX(機種マスタ!$C$4:$C$363,MATCH($C291,機種マスタ!$B$4:$B$363,0)),"-")))</f>
        <v/>
      </c>
      <c r="G291" s="30">
        <f>IF($C291="","",IF($B291="YM",IFERROR(N(INDEX(機種マスタ!$L$4:$L$203,MATCH($C291,機種マスタ!$J$4:$J$203,0))),0),IFERROR(N(INDEX(機種マスタ!$D$4:$D$363,MATCH($C291,機種マスタ!$B$4:$B$363,0))),0)))</f>
        <v/>
      </c>
      <c r="H291" s="30">
        <f>IF($C291="","",IF($D291="",1,$D291))</f>
        <v/>
      </c>
      <c r="I291" s="30">
        <f>IF($C291="","",IF(G291&gt;0,(G291+IFERROR(VLOOKUP(F291,機種マスタ!$Q$4:$R$6,2,FALSE),0))*H291,0))</f>
        <v/>
      </c>
    </row>
    <row r="292">
      <c r="A292" s="56" t="n"/>
      <c r="B292" s="41" t="n"/>
      <c r="C292" s="40" t="n"/>
      <c r="D292" s="41" t="n"/>
      <c r="E292" s="30">
        <f>IF($C292="","",IF($B292="YM",IFERROR(INDEX(機種マスタ!$I$4:$I$203,MATCH($C292,機種マスタ!$J$4:$J$203,0)),"未登録"),IFERROR(INDEX(機種マスタ!$A$4:$A$363,MATCH($C292,機種マスタ!$B$4:$B$363,0)),"未登録")))</f>
        <v/>
      </c>
      <c r="F292" s="30">
        <f>IF($C292="","",IF($B292="YM",IFERROR(INDEX(機種マスタ!$K$4:$K$203,MATCH($C292,機種マスタ!$J$4:$J$203,0)),"-"),IFERROR(INDEX(機種マスタ!$C$4:$C$363,MATCH($C292,機種マスタ!$B$4:$B$363,0)),"-")))</f>
        <v/>
      </c>
      <c r="G292" s="30">
        <f>IF($C292="","",IF($B292="YM",IFERROR(N(INDEX(機種マスタ!$L$4:$L$203,MATCH($C292,機種マスタ!$J$4:$J$203,0))),0),IFERROR(N(INDEX(機種マスタ!$D$4:$D$363,MATCH($C292,機種マスタ!$B$4:$B$363,0))),0)))</f>
        <v/>
      </c>
      <c r="H292" s="30">
        <f>IF($C292="","",IF($D292="",1,$D292))</f>
        <v/>
      </c>
      <c r="I292" s="30">
        <f>IF($C292="","",IF(G292&gt;0,(G292+IFERROR(VLOOKUP(F292,機種マスタ!$Q$4:$R$6,2,FALSE),0))*H292,0))</f>
        <v/>
      </c>
    </row>
    <row r="293">
      <c r="A293" s="56" t="n"/>
      <c r="B293" s="41" t="n"/>
      <c r="C293" s="40" t="n"/>
      <c r="D293" s="41" t="n"/>
      <c r="E293" s="30">
        <f>IF($C293="","",IF($B293="YM",IFERROR(INDEX(機種マスタ!$I$4:$I$203,MATCH($C293,機種マスタ!$J$4:$J$203,0)),"未登録"),IFERROR(INDEX(機種マスタ!$A$4:$A$363,MATCH($C293,機種マスタ!$B$4:$B$363,0)),"未登録")))</f>
        <v/>
      </c>
      <c r="F293" s="30">
        <f>IF($C293="","",IF($B293="YM",IFERROR(INDEX(機種マスタ!$K$4:$K$203,MATCH($C293,機種マスタ!$J$4:$J$203,0)),"-"),IFERROR(INDEX(機種マスタ!$C$4:$C$363,MATCH($C293,機種マスタ!$B$4:$B$363,0)),"-")))</f>
        <v/>
      </c>
      <c r="G293" s="30">
        <f>IF($C293="","",IF($B293="YM",IFERROR(N(INDEX(機種マスタ!$L$4:$L$203,MATCH($C293,機種マスタ!$J$4:$J$203,0))),0),IFERROR(N(INDEX(機種マスタ!$D$4:$D$363,MATCH($C293,機種マスタ!$B$4:$B$363,0))),0)))</f>
        <v/>
      </c>
      <c r="H293" s="30">
        <f>IF($C293="","",IF($D293="",1,$D293))</f>
        <v/>
      </c>
      <c r="I293" s="30">
        <f>IF($C293="","",IF(G293&gt;0,(G293+IFERROR(VLOOKUP(F293,機種マスタ!$Q$4:$R$6,2,FALSE),0))*H293,0))</f>
        <v/>
      </c>
    </row>
    <row r="294">
      <c r="A294" s="56" t="n"/>
      <c r="B294" s="41" t="n"/>
      <c r="C294" s="40" t="n"/>
      <c r="D294" s="41" t="n"/>
      <c r="E294" s="30">
        <f>IF($C294="","",IF($B294="YM",IFERROR(INDEX(機種マスタ!$I$4:$I$203,MATCH($C294,機種マスタ!$J$4:$J$203,0)),"未登録"),IFERROR(INDEX(機種マスタ!$A$4:$A$363,MATCH($C294,機種マスタ!$B$4:$B$363,0)),"未登録")))</f>
        <v/>
      </c>
      <c r="F294" s="30">
        <f>IF($C294="","",IF($B294="YM",IFERROR(INDEX(機種マスタ!$K$4:$K$203,MATCH($C294,機種マスタ!$J$4:$J$203,0)),"-"),IFERROR(INDEX(機種マスタ!$C$4:$C$363,MATCH($C294,機種マスタ!$B$4:$B$363,0)),"-")))</f>
        <v/>
      </c>
      <c r="G294" s="30">
        <f>IF($C294="","",IF($B294="YM",IFERROR(N(INDEX(機種マスタ!$L$4:$L$203,MATCH($C294,機種マスタ!$J$4:$J$203,0))),0),IFERROR(N(INDEX(機種マスタ!$D$4:$D$363,MATCH($C294,機種マスタ!$B$4:$B$363,0))),0)))</f>
        <v/>
      </c>
      <c r="H294" s="30">
        <f>IF($C294="","",IF($D294="",1,$D294))</f>
        <v/>
      </c>
      <c r="I294" s="30">
        <f>IF($C294="","",IF(G294&gt;0,(G294+IFERROR(VLOOKUP(F294,機種マスタ!$Q$4:$R$6,2,FALSE),0))*H294,0))</f>
        <v/>
      </c>
    </row>
    <row r="295">
      <c r="A295" s="56" t="n"/>
      <c r="B295" s="41" t="n"/>
      <c r="C295" s="40" t="n"/>
      <c r="D295" s="41" t="n"/>
      <c r="E295" s="30">
        <f>IF($C295="","",IF($B295="YM",IFERROR(INDEX(機種マスタ!$I$4:$I$203,MATCH($C295,機種マスタ!$J$4:$J$203,0)),"未登録"),IFERROR(INDEX(機種マスタ!$A$4:$A$363,MATCH($C295,機種マスタ!$B$4:$B$363,0)),"未登録")))</f>
        <v/>
      </c>
      <c r="F295" s="30">
        <f>IF($C295="","",IF($B295="YM",IFERROR(INDEX(機種マスタ!$K$4:$K$203,MATCH($C295,機種マスタ!$J$4:$J$203,0)),"-"),IFERROR(INDEX(機種マスタ!$C$4:$C$363,MATCH($C295,機種マスタ!$B$4:$B$363,0)),"-")))</f>
        <v/>
      </c>
      <c r="G295" s="30">
        <f>IF($C295="","",IF($B295="YM",IFERROR(N(INDEX(機種マスタ!$L$4:$L$203,MATCH($C295,機種マスタ!$J$4:$J$203,0))),0),IFERROR(N(INDEX(機種マスタ!$D$4:$D$363,MATCH($C295,機種マスタ!$B$4:$B$363,0))),0)))</f>
        <v/>
      </c>
      <c r="H295" s="30">
        <f>IF($C295="","",IF($D295="",1,$D295))</f>
        <v/>
      </c>
      <c r="I295" s="30">
        <f>IF($C295="","",IF(G295&gt;0,(G295+IFERROR(VLOOKUP(F295,機種マスタ!$Q$4:$R$6,2,FALSE),0))*H295,0))</f>
        <v/>
      </c>
    </row>
    <row r="296">
      <c r="A296" s="56" t="n"/>
      <c r="B296" s="41" t="n"/>
      <c r="C296" s="40" t="n"/>
      <c r="D296" s="41" t="n"/>
      <c r="E296" s="30">
        <f>IF($C296="","",IF($B296="YM",IFERROR(INDEX(機種マスタ!$I$4:$I$203,MATCH($C296,機種マスタ!$J$4:$J$203,0)),"未登録"),IFERROR(INDEX(機種マスタ!$A$4:$A$363,MATCH($C296,機種マスタ!$B$4:$B$363,0)),"未登録")))</f>
        <v/>
      </c>
      <c r="F296" s="30">
        <f>IF($C296="","",IF($B296="YM",IFERROR(INDEX(機種マスタ!$K$4:$K$203,MATCH($C296,機種マスタ!$J$4:$J$203,0)),"-"),IFERROR(INDEX(機種マスタ!$C$4:$C$363,MATCH($C296,機種マスタ!$B$4:$B$363,0)),"-")))</f>
        <v/>
      </c>
      <c r="G296" s="30">
        <f>IF($C296="","",IF($B296="YM",IFERROR(N(INDEX(機種マスタ!$L$4:$L$203,MATCH($C296,機種マスタ!$J$4:$J$203,0))),0),IFERROR(N(INDEX(機種マスタ!$D$4:$D$363,MATCH($C296,機種マスタ!$B$4:$B$363,0))),0)))</f>
        <v/>
      </c>
      <c r="H296" s="30">
        <f>IF($C296="","",IF($D296="",1,$D296))</f>
        <v/>
      </c>
      <c r="I296" s="30">
        <f>IF($C296="","",IF(G296&gt;0,(G296+IFERROR(VLOOKUP(F296,機種マスタ!$Q$4:$R$6,2,FALSE),0))*H296,0))</f>
        <v/>
      </c>
    </row>
    <row r="297">
      <c r="A297" s="56" t="n"/>
      <c r="B297" s="41" t="n"/>
      <c r="C297" s="40" t="n"/>
      <c r="D297" s="41" t="n"/>
      <c r="E297" s="30">
        <f>IF($C297="","",IF($B297="YM",IFERROR(INDEX(機種マスタ!$I$4:$I$203,MATCH($C297,機種マスタ!$J$4:$J$203,0)),"未登録"),IFERROR(INDEX(機種マスタ!$A$4:$A$363,MATCH($C297,機種マスタ!$B$4:$B$363,0)),"未登録")))</f>
        <v/>
      </c>
      <c r="F297" s="30">
        <f>IF($C297="","",IF($B297="YM",IFERROR(INDEX(機種マスタ!$K$4:$K$203,MATCH($C297,機種マスタ!$J$4:$J$203,0)),"-"),IFERROR(INDEX(機種マスタ!$C$4:$C$363,MATCH($C297,機種マスタ!$B$4:$B$363,0)),"-")))</f>
        <v/>
      </c>
      <c r="G297" s="30">
        <f>IF($C297="","",IF($B297="YM",IFERROR(N(INDEX(機種マスタ!$L$4:$L$203,MATCH($C297,機種マスタ!$J$4:$J$203,0))),0),IFERROR(N(INDEX(機種マスタ!$D$4:$D$363,MATCH($C297,機種マスタ!$B$4:$B$363,0))),0)))</f>
        <v/>
      </c>
      <c r="H297" s="30">
        <f>IF($C297="","",IF($D297="",1,$D297))</f>
        <v/>
      </c>
      <c r="I297" s="30">
        <f>IF($C297="","",IF(G297&gt;0,(G297+IFERROR(VLOOKUP(F297,機種マスタ!$Q$4:$R$6,2,FALSE),0))*H297,0))</f>
        <v/>
      </c>
    </row>
    <row r="298">
      <c r="A298" s="56" t="n"/>
      <c r="B298" s="41" t="n"/>
      <c r="C298" s="40" t="n"/>
      <c r="D298" s="41" t="n"/>
      <c r="E298" s="30">
        <f>IF($C298="","",IF($B298="YM",IFERROR(INDEX(機種マスタ!$I$4:$I$203,MATCH($C298,機種マスタ!$J$4:$J$203,0)),"未登録"),IFERROR(INDEX(機種マスタ!$A$4:$A$363,MATCH($C298,機種マスタ!$B$4:$B$363,0)),"未登録")))</f>
        <v/>
      </c>
      <c r="F298" s="30">
        <f>IF($C298="","",IF($B298="YM",IFERROR(INDEX(機種マスタ!$K$4:$K$203,MATCH($C298,機種マスタ!$J$4:$J$203,0)),"-"),IFERROR(INDEX(機種マスタ!$C$4:$C$363,MATCH($C298,機種マスタ!$B$4:$B$363,0)),"-")))</f>
        <v/>
      </c>
      <c r="G298" s="30">
        <f>IF($C298="","",IF($B298="YM",IFERROR(N(INDEX(機種マスタ!$L$4:$L$203,MATCH($C298,機種マスタ!$J$4:$J$203,0))),0),IFERROR(N(INDEX(機種マスタ!$D$4:$D$363,MATCH($C298,機種マスタ!$B$4:$B$363,0))),0)))</f>
        <v/>
      </c>
      <c r="H298" s="30">
        <f>IF($C298="","",IF($D298="",1,$D298))</f>
        <v/>
      </c>
      <c r="I298" s="30">
        <f>IF($C298="","",IF(G298&gt;0,(G298+IFERROR(VLOOKUP(F298,機種マスタ!$Q$4:$R$6,2,FALSE),0))*H298,0))</f>
        <v/>
      </c>
    </row>
    <row r="299">
      <c r="A299" s="56" t="n"/>
      <c r="B299" s="41" t="n"/>
      <c r="C299" s="40" t="n"/>
      <c r="D299" s="41" t="n"/>
      <c r="E299" s="30">
        <f>IF($C299="","",IF($B299="YM",IFERROR(INDEX(機種マスタ!$I$4:$I$203,MATCH($C299,機種マスタ!$J$4:$J$203,0)),"未登録"),IFERROR(INDEX(機種マスタ!$A$4:$A$363,MATCH($C299,機種マスタ!$B$4:$B$363,0)),"未登録")))</f>
        <v/>
      </c>
      <c r="F299" s="30">
        <f>IF($C299="","",IF($B299="YM",IFERROR(INDEX(機種マスタ!$K$4:$K$203,MATCH($C299,機種マスタ!$J$4:$J$203,0)),"-"),IFERROR(INDEX(機種マスタ!$C$4:$C$363,MATCH($C299,機種マスタ!$B$4:$B$363,0)),"-")))</f>
        <v/>
      </c>
      <c r="G299" s="30">
        <f>IF($C299="","",IF($B299="YM",IFERROR(N(INDEX(機種マスタ!$L$4:$L$203,MATCH($C299,機種マスタ!$J$4:$J$203,0))),0),IFERROR(N(INDEX(機種マスタ!$D$4:$D$363,MATCH($C299,機種マスタ!$B$4:$B$363,0))),0)))</f>
        <v/>
      </c>
      <c r="H299" s="30">
        <f>IF($C299="","",IF($D299="",1,$D299))</f>
        <v/>
      </c>
      <c r="I299" s="30">
        <f>IF($C299="","",IF(G299&gt;0,(G299+IFERROR(VLOOKUP(F299,機種マスタ!$Q$4:$R$6,2,FALSE),0))*H299,0))</f>
        <v/>
      </c>
    </row>
    <row r="300">
      <c r="A300" s="56" t="n"/>
      <c r="B300" s="41" t="n"/>
      <c r="C300" s="40" t="n"/>
      <c r="D300" s="41" t="n"/>
      <c r="E300" s="30">
        <f>IF($C300="","",IF($B300="YM",IFERROR(INDEX(機種マスタ!$I$4:$I$203,MATCH($C300,機種マスタ!$J$4:$J$203,0)),"未登録"),IFERROR(INDEX(機種マスタ!$A$4:$A$363,MATCH($C300,機種マスタ!$B$4:$B$363,0)),"未登録")))</f>
        <v/>
      </c>
      <c r="F300" s="30">
        <f>IF($C300="","",IF($B300="YM",IFERROR(INDEX(機種マスタ!$K$4:$K$203,MATCH($C300,機種マスタ!$J$4:$J$203,0)),"-"),IFERROR(INDEX(機種マスタ!$C$4:$C$363,MATCH($C300,機種マスタ!$B$4:$B$363,0)),"-")))</f>
        <v/>
      </c>
      <c r="G300" s="30">
        <f>IF($C300="","",IF($B300="YM",IFERROR(N(INDEX(機種マスタ!$L$4:$L$203,MATCH($C300,機種マスタ!$J$4:$J$203,0))),0),IFERROR(N(INDEX(機種マスタ!$D$4:$D$363,MATCH($C300,機種マスタ!$B$4:$B$363,0))),0)))</f>
        <v/>
      </c>
      <c r="H300" s="30">
        <f>IF($C300="","",IF($D300="",1,$D300))</f>
        <v/>
      </c>
      <c r="I300" s="30">
        <f>IF($C300="","",IF(G300&gt;0,(G300+IFERROR(VLOOKUP(F300,機種マスタ!$Q$4:$R$6,2,FALSE),0))*H300,0))</f>
        <v/>
      </c>
    </row>
    <row r="301">
      <c r="A301" s="56" t="n"/>
      <c r="B301" s="41" t="n"/>
      <c r="C301" s="40" t="n"/>
      <c r="D301" s="41" t="n"/>
      <c r="E301" s="30">
        <f>IF($C301="","",IF($B301="YM",IFERROR(INDEX(機種マスタ!$I$4:$I$203,MATCH($C301,機種マスタ!$J$4:$J$203,0)),"未登録"),IFERROR(INDEX(機種マスタ!$A$4:$A$363,MATCH($C301,機種マスタ!$B$4:$B$363,0)),"未登録")))</f>
        <v/>
      </c>
      <c r="F301" s="30">
        <f>IF($C301="","",IF($B301="YM",IFERROR(INDEX(機種マスタ!$K$4:$K$203,MATCH($C301,機種マスタ!$J$4:$J$203,0)),"-"),IFERROR(INDEX(機種マスタ!$C$4:$C$363,MATCH($C301,機種マスタ!$B$4:$B$363,0)),"-")))</f>
        <v/>
      </c>
      <c r="G301" s="30">
        <f>IF($C301="","",IF($B301="YM",IFERROR(N(INDEX(機種マスタ!$L$4:$L$203,MATCH($C301,機種マスタ!$J$4:$J$203,0))),0),IFERROR(N(INDEX(機種マスタ!$D$4:$D$363,MATCH($C301,機種マスタ!$B$4:$B$363,0))),0)))</f>
        <v/>
      </c>
      <c r="H301" s="30">
        <f>IF($C301="","",IF($D301="",1,$D301))</f>
        <v/>
      </c>
      <c r="I301" s="30">
        <f>IF($C301="","",IF(G301&gt;0,(G301+IFERROR(VLOOKUP(F301,機種マスタ!$Q$4:$R$6,2,FALSE),0))*H301,0))</f>
        <v/>
      </c>
    </row>
    <row r="302">
      <c r="A302" s="56" t="n"/>
      <c r="B302" s="41" t="n"/>
      <c r="C302" s="40" t="n"/>
      <c r="D302" s="41" t="n"/>
      <c r="E302" s="30">
        <f>IF($C302="","",IF($B302="YM",IFERROR(INDEX(機種マスタ!$I$4:$I$203,MATCH($C302,機種マスタ!$J$4:$J$203,0)),"未登録"),IFERROR(INDEX(機種マスタ!$A$4:$A$363,MATCH($C302,機種マスタ!$B$4:$B$363,0)),"未登録")))</f>
        <v/>
      </c>
      <c r="F302" s="30">
        <f>IF($C302="","",IF($B302="YM",IFERROR(INDEX(機種マスタ!$K$4:$K$203,MATCH($C302,機種マスタ!$J$4:$J$203,0)),"-"),IFERROR(INDEX(機種マスタ!$C$4:$C$363,MATCH($C302,機種マスタ!$B$4:$B$363,0)),"-")))</f>
        <v/>
      </c>
      <c r="G302" s="30">
        <f>IF($C302="","",IF($B302="YM",IFERROR(N(INDEX(機種マスタ!$L$4:$L$203,MATCH($C302,機種マスタ!$J$4:$J$203,0))),0),IFERROR(N(INDEX(機種マスタ!$D$4:$D$363,MATCH($C302,機種マスタ!$B$4:$B$363,0))),0)))</f>
        <v/>
      </c>
      <c r="H302" s="30">
        <f>IF($C302="","",IF($D302="",1,$D302))</f>
        <v/>
      </c>
      <c r="I302" s="30">
        <f>IF($C302="","",IF(G302&gt;0,(G302+IFERROR(VLOOKUP(F302,機種マスタ!$Q$4:$R$6,2,FALSE),0))*H302,0))</f>
        <v/>
      </c>
    </row>
    <row r="303">
      <c r="A303" s="56" t="n"/>
      <c r="B303" s="41" t="n"/>
      <c r="C303" s="40" t="n"/>
      <c r="D303" s="41" t="n"/>
      <c r="E303" s="30">
        <f>IF($C303="","",IF($B303="YM",IFERROR(INDEX(機種マスタ!$I$4:$I$203,MATCH($C303,機種マスタ!$J$4:$J$203,0)),"未登録"),IFERROR(INDEX(機種マスタ!$A$4:$A$363,MATCH($C303,機種マスタ!$B$4:$B$363,0)),"未登録")))</f>
        <v/>
      </c>
      <c r="F303" s="30">
        <f>IF($C303="","",IF($B303="YM",IFERROR(INDEX(機種マスタ!$K$4:$K$203,MATCH($C303,機種マスタ!$J$4:$J$203,0)),"-"),IFERROR(INDEX(機種マスタ!$C$4:$C$363,MATCH($C303,機種マスタ!$B$4:$B$363,0)),"-")))</f>
        <v/>
      </c>
      <c r="G303" s="30">
        <f>IF($C303="","",IF($B303="YM",IFERROR(N(INDEX(機種マスタ!$L$4:$L$203,MATCH($C303,機種マスタ!$J$4:$J$203,0))),0),IFERROR(N(INDEX(機種マスタ!$D$4:$D$363,MATCH($C303,機種マスタ!$B$4:$B$363,0))),0)))</f>
        <v/>
      </c>
      <c r="H303" s="30">
        <f>IF($C303="","",IF($D303="",1,$D303))</f>
        <v/>
      </c>
      <c r="I303" s="30">
        <f>IF($C303="","",IF(G303&gt;0,(G303+IFERROR(VLOOKUP(F303,機種マスタ!$Q$4:$R$6,2,FALSE),0))*H303,0))</f>
        <v/>
      </c>
    </row>
    <row r="304">
      <c r="A304" s="56" t="n"/>
      <c r="B304" s="41" t="n"/>
      <c r="C304" s="40" t="n"/>
      <c r="D304" s="41" t="n"/>
      <c r="E304" s="30">
        <f>IF($C304="","",IF($B304="YM",IFERROR(INDEX(機種マスタ!$I$4:$I$203,MATCH($C304,機種マスタ!$J$4:$J$203,0)),"未登録"),IFERROR(INDEX(機種マスタ!$A$4:$A$363,MATCH($C304,機種マスタ!$B$4:$B$363,0)),"未登録")))</f>
        <v/>
      </c>
      <c r="F304" s="30">
        <f>IF($C304="","",IF($B304="YM",IFERROR(INDEX(機種マスタ!$K$4:$K$203,MATCH($C304,機種マスタ!$J$4:$J$203,0)),"-"),IFERROR(INDEX(機種マスタ!$C$4:$C$363,MATCH($C304,機種マスタ!$B$4:$B$363,0)),"-")))</f>
        <v/>
      </c>
      <c r="G304" s="30">
        <f>IF($C304="","",IF($B304="YM",IFERROR(N(INDEX(機種マスタ!$L$4:$L$203,MATCH($C304,機種マスタ!$J$4:$J$203,0))),0),IFERROR(N(INDEX(機種マスタ!$D$4:$D$363,MATCH($C304,機種マスタ!$B$4:$B$363,0))),0)))</f>
        <v/>
      </c>
      <c r="H304" s="30">
        <f>IF($C304="","",IF($D304="",1,$D304))</f>
        <v/>
      </c>
      <c r="I304" s="30">
        <f>IF($C304="","",IF(G304&gt;0,(G304+IFERROR(VLOOKUP(F304,機種マスタ!$Q$4:$R$6,2,FALSE),0))*H304,0))</f>
        <v/>
      </c>
    </row>
    <row r="305">
      <c r="A305" s="56" t="n"/>
      <c r="B305" s="41" t="n"/>
      <c r="C305" s="40" t="n"/>
      <c r="D305" s="41" t="n"/>
      <c r="E305" s="30">
        <f>IF($C305="","",IF($B305="YM",IFERROR(INDEX(機種マスタ!$I$4:$I$203,MATCH($C305,機種マスタ!$J$4:$J$203,0)),"未登録"),IFERROR(INDEX(機種マスタ!$A$4:$A$363,MATCH($C305,機種マスタ!$B$4:$B$363,0)),"未登録")))</f>
        <v/>
      </c>
      <c r="F305" s="30">
        <f>IF($C305="","",IF($B305="YM",IFERROR(INDEX(機種マスタ!$K$4:$K$203,MATCH($C305,機種マスタ!$J$4:$J$203,0)),"-"),IFERROR(INDEX(機種マスタ!$C$4:$C$363,MATCH($C305,機種マスタ!$B$4:$B$363,0)),"-")))</f>
        <v/>
      </c>
      <c r="G305" s="30">
        <f>IF($C305="","",IF($B305="YM",IFERROR(N(INDEX(機種マスタ!$L$4:$L$203,MATCH($C305,機種マスタ!$J$4:$J$203,0))),0),IFERROR(N(INDEX(機種マスタ!$D$4:$D$363,MATCH($C305,機種マスタ!$B$4:$B$363,0))),0)))</f>
        <v/>
      </c>
      <c r="H305" s="30">
        <f>IF($C305="","",IF($D305="",1,$D305))</f>
        <v/>
      </c>
      <c r="I305" s="30">
        <f>IF($C305="","",IF(G305&gt;0,(G305+IFERROR(VLOOKUP(F305,機種マスタ!$Q$4:$R$6,2,FALSE),0))*H305,0))</f>
        <v/>
      </c>
    </row>
    <row r="306">
      <c r="A306" s="56" t="n"/>
      <c r="B306" s="41" t="n"/>
      <c r="C306" s="40" t="n"/>
      <c r="D306" s="41" t="n"/>
      <c r="E306" s="30">
        <f>IF($C306="","",IF($B306="YM",IFERROR(INDEX(機種マスタ!$I$4:$I$203,MATCH($C306,機種マスタ!$J$4:$J$203,0)),"未登録"),IFERROR(INDEX(機種マスタ!$A$4:$A$363,MATCH($C306,機種マスタ!$B$4:$B$363,0)),"未登録")))</f>
        <v/>
      </c>
      <c r="F306" s="30">
        <f>IF($C306="","",IF($B306="YM",IFERROR(INDEX(機種マスタ!$K$4:$K$203,MATCH($C306,機種マスタ!$J$4:$J$203,0)),"-"),IFERROR(INDEX(機種マスタ!$C$4:$C$363,MATCH($C306,機種マスタ!$B$4:$B$363,0)),"-")))</f>
        <v/>
      </c>
      <c r="G306" s="30">
        <f>IF($C306="","",IF($B306="YM",IFERROR(N(INDEX(機種マスタ!$L$4:$L$203,MATCH($C306,機種マスタ!$J$4:$J$203,0))),0),IFERROR(N(INDEX(機種マスタ!$D$4:$D$363,MATCH($C306,機種マスタ!$B$4:$B$363,0))),0)))</f>
        <v/>
      </c>
      <c r="H306" s="30">
        <f>IF($C306="","",IF($D306="",1,$D306))</f>
        <v/>
      </c>
      <c r="I306" s="30">
        <f>IF($C306="","",IF(G306&gt;0,(G306+IFERROR(VLOOKUP(F306,機種マスタ!$Q$4:$R$6,2,FALSE),0))*H306,0))</f>
        <v/>
      </c>
    </row>
    <row r="307">
      <c r="A307" s="56" t="n"/>
      <c r="B307" s="41" t="n"/>
      <c r="C307" s="40" t="n"/>
      <c r="D307" s="41" t="n"/>
      <c r="E307" s="30">
        <f>IF($C307="","",IF($B307="YM",IFERROR(INDEX(機種マスタ!$I$4:$I$203,MATCH($C307,機種マスタ!$J$4:$J$203,0)),"未登録"),IFERROR(INDEX(機種マスタ!$A$4:$A$363,MATCH($C307,機種マスタ!$B$4:$B$363,0)),"未登録")))</f>
        <v/>
      </c>
      <c r="F307" s="30">
        <f>IF($C307="","",IF($B307="YM",IFERROR(INDEX(機種マスタ!$K$4:$K$203,MATCH($C307,機種マスタ!$J$4:$J$203,0)),"-"),IFERROR(INDEX(機種マスタ!$C$4:$C$363,MATCH($C307,機種マスタ!$B$4:$B$363,0)),"-")))</f>
        <v/>
      </c>
      <c r="G307" s="30">
        <f>IF($C307="","",IF($B307="YM",IFERROR(N(INDEX(機種マスタ!$L$4:$L$203,MATCH($C307,機種マスタ!$J$4:$J$203,0))),0),IFERROR(N(INDEX(機種マスタ!$D$4:$D$363,MATCH($C307,機種マスタ!$B$4:$B$363,0))),0)))</f>
        <v/>
      </c>
      <c r="H307" s="30">
        <f>IF($C307="","",IF($D307="",1,$D307))</f>
        <v/>
      </c>
      <c r="I307" s="30">
        <f>IF($C307="","",IF(G307&gt;0,(G307+IFERROR(VLOOKUP(F307,機種マスタ!$Q$4:$R$6,2,FALSE),0))*H307,0))</f>
        <v/>
      </c>
    </row>
    <row r="308">
      <c r="A308" s="56" t="n"/>
      <c r="B308" s="41" t="n"/>
      <c r="C308" s="40" t="n"/>
      <c r="D308" s="41" t="n"/>
      <c r="E308" s="30">
        <f>IF($C308="","",IF($B308="YM",IFERROR(INDEX(機種マスタ!$I$4:$I$203,MATCH($C308,機種マスタ!$J$4:$J$203,0)),"未登録"),IFERROR(INDEX(機種マスタ!$A$4:$A$363,MATCH($C308,機種マスタ!$B$4:$B$363,0)),"未登録")))</f>
        <v/>
      </c>
      <c r="F308" s="30">
        <f>IF($C308="","",IF($B308="YM",IFERROR(INDEX(機種マスタ!$K$4:$K$203,MATCH($C308,機種マスタ!$J$4:$J$203,0)),"-"),IFERROR(INDEX(機種マスタ!$C$4:$C$363,MATCH($C308,機種マスタ!$B$4:$B$363,0)),"-")))</f>
        <v/>
      </c>
      <c r="G308" s="30">
        <f>IF($C308="","",IF($B308="YM",IFERROR(N(INDEX(機種マスタ!$L$4:$L$203,MATCH($C308,機種マスタ!$J$4:$J$203,0))),0),IFERROR(N(INDEX(機種マスタ!$D$4:$D$363,MATCH($C308,機種マスタ!$B$4:$B$363,0))),0)))</f>
        <v/>
      </c>
      <c r="H308" s="30">
        <f>IF($C308="","",IF($D308="",1,$D308))</f>
        <v/>
      </c>
      <c r="I308" s="30">
        <f>IF($C308="","",IF(G308&gt;0,(G308+IFERROR(VLOOKUP(F308,機種マスタ!$Q$4:$R$6,2,FALSE),0))*H308,0))</f>
        <v/>
      </c>
    </row>
    <row r="309">
      <c r="A309" s="56" t="n"/>
      <c r="B309" s="41" t="n"/>
      <c r="C309" s="40" t="n"/>
      <c r="D309" s="41" t="n"/>
      <c r="E309" s="30">
        <f>IF($C309="","",IF($B309="YM",IFERROR(INDEX(機種マスタ!$I$4:$I$203,MATCH($C309,機種マスタ!$J$4:$J$203,0)),"未登録"),IFERROR(INDEX(機種マスタ!$A$4:$A$363,MATCH($C309,機種マスタ!$B$4:$B$363,0)),"未登録")))</f>
        <v/>
      </c>
      <c r="F309" s="30">
        <f>IF($C309="","",IF($B309="YM",IFERROR(INDEX(機種マスタ!$K$4:$K$203,MATCH($C309,機種マスタ!$J$4:$J$203,0)),"-"),IFERROR(INDEX(機種マスタ!$C$4:$C$363,MATCH($C309,機種マスタ!$B$4:$B$363,0)),"-")))</f>
        <v/>
      </c>
      <c r="G309" s="30">
        <f>IF($C309="","",IF($B309="YM",IFERROR(N(INDEX(機種マスタ!$L$4:$L$203,MATCH($C309,機種マスタ!$J$4:$J$203,0))),0),IFERROR(N(INDEX(機種マスタ!$D$4:$D$363,MATCH($C309,機種マスタ!$B$4:$B$363,0))),0)))</f>
        <v/>
      </c>
      <c r="H309" s="30">
        <f>IF($C309="","",IF($D309="",1,$D309))</f>
        <v/>
      </c>
      <c r="I309" s="30">
        <f>IF($C309="","",IF(G309&gt;0,(G309+IFERROR(VLOOKUP(F309,機種マスタ!$Q$4:$R$6,2,FALSE),0))*H309,0))</f>
        <v/>
      </c>
    </row>
    <row r="310">
      <c r="A310" s="56" t="n"/>
      <c r="B310" s="41" t="n"/>
      <c r="C310" s="40" t="n"/>
      <c r="D310" s="41" t="n"/>
      <c r="E310" s="30">
        <f>IF($C310="","",IF($B310="YM",IFERROR(INDEX(機種マスタ!$I$4:$I$203,MATCH($C310,機種マスタ!$J$4:$J$203,0)),"未登録"),IFERROR(INDEX(機種マスタ!$A$4:$A$363,MATCH($C310,機種マスタ!$B$4:$B$363,0)),"未登録")))</f>
        <v/>
      </c>
      <c r="F310" s="30">
        <f>IF($C310="","",IF($B310="YM",IFERROR(INDEX(機種マスタ!$K$4:$K$203,MATCH($C310,機種マスタ!$J$4:$J$203,0)),"-"),IFERROR(INDEX(機種マスタ!$C$4:$C$363,MATCH($C310,機種マスタ!$B$4:$B$363,0)),"-")))</f>
        <v/>
      </c>
      <c r="G310" s="30">
        <f>IF($C310="","",IF($B310="YM",IFERROR(N(INDEX(機種マスタ!$L$4:$L$203,MATCH($C310,機種マスタ!$J$4:$J$203,0))),0),IFERROR(N(INDEX(機種マスタ!$D$4:$D$363,MATCH($C310,機種マスタ!$B$4:$B$363,0))),0)))</f>
        <v/>
      </c>
      <c r="H310" s="30">
        <f>IF($C310="","",IF($D310="",1,$D310))</f>
        <v/>
      </c>
      <c r="I310" s="30">
        <f>IF($C310="","",IF(G310&gt;0,(G310+IFERROR(VLOOKUP(F310,機種マスタ!$Q$4:$R$6,2,FALSE),0))*H310,0))</f>
        <v/>
      </c>
    </row>
    <row r="311">
      <c r="A311" s="56" t="n"/>
      <c r="B311" s="41" t="n"/>
      <c r="C311" s="40" t="n"/>
      <c r="D311" s="41" t="n"/>
      <c r="E311" s="30">
        <f>IF($C311="","",IF($B311="YM",IFERROR(INDEX(機種マスタ!$I$4:$I$203,MATCH($C311,機種マスタ!$J$4:$J$203,0)),"未登録"),IFERROR(INDEX(機種マスタ!$A$4:$A$363,MATCH($C311,機種マスタ!$B$4:$B$363,0)),"未登録")))</f>
        <v/>
      </c>
      <c r="F311" s="30">
        <f>IF($C311="","",IF($B311="YM",IFERROR(INDEX(機種マスタ!$K$4:$K$203,MATCH($C311,機種マスタ!$J$4:$J$203,0)),"-"),IFERROR(INDEX(機種マスタ!$C$4:$C$363,MATCH($C311,機種マスタ!$B$4:$B$363,0)),"-")))</f>
        <v/>
      </c>
      <c r="G311" s="30">
        <f>IF($C311="","",IF($B311="YM",IFERROR(N(INDEX(機種マスタ!$L$4:$L$203,MATCH($C311,機種マスタ!$J$4:$J$203,0))),0),IFERROR(N(INDEX(機種マスタ!$D$4:$D$363,MATCH($C311,機種マスタ!$B$4:$B$363,0))),0)))</f>
        <v/>
      </c>
      <c r="H311" s="30">
        <f>IF($C311="","",IF($D311="",1,$D311))</f>
        <v/>
      </c>
      <c r="I311" s="30">
        <f>IF($C311="","",IF(G311&gt;0,(G311+IFERROR(VLOOKUP(F311,機種マスタ!$Q$4:$R$6,2,FALSE),0))*H311,0))</f>
        <v/>
      </c>
    </row>
    <row r="312">
      <c r="A312" s="56" t="n"/>
      <c r="B312" s="41" t="n"/>
      <c r="C312" s="40" t="n"/>
      <c r="D312" s="41" t="n"/>
      <c r="E312" s="30">
        <f>IF($C312="","",IF($B312="YM",IFERROR(INDEX(機種マスタ!$I$4:$I$203,MATCH($C312,機種マスタ!$J$4:$J$203,0)),"未登録"),IFERROR(INDEX(機種マスタ!$A$4:$A$363,MATCH($C312,機種マスタ!$B$4:$B$363,0)),"未登録")))</f>
        <v/>
      </c>
      <c r="F312" s="30">
        <f>IF($C312="","",IF($B312="YM",IFERROR(INDEX(機種マスタ!$K$4:$K$203,MATCH($C312,機種マスタ!$J$4:$J$203,0)),"-"),IFERROR(INDEX(機種マスタ!$C$4:$C$363,MATCH($C312,機種マスタ!$B$4:$B$363,0)),"-")))</f>
        <v/>
      </c>
      <c r="G312" s="30">
        <f>IF($C312="","",IF($B312="YM",IFERROR(N(INDEX(機種マスタ!$L$4:$L$203,MATCH($C312,機種マスタ!$J$4:$J$203,0))),0),IFERROR(N(INDEX(機種マスタ!$D$4:$D$363,MATCH($C312,機種マスタ!$B$4:$B$363,0))),0)))</f>
        <v/>
      </c>
      <c r="H312" s="30">
        <f>IF($C312="","",IF($D312="",1,$D312))</f>
        <v/>
      </c>
      <c r="I312" s="30">
        <f>IF($C312="","",IF(G312&gt;0,(G312+IFERROR(VLOOKUP(F312,機種マスタ!$Q$4:$R$6,2,FALSE),0))*H312,0))</f>
        <v/>
      </c>
    </row>
    <row r="313">
      <c r="A313" s="56" t="n"/>
      <c r="B313" s="41" t="n"/>
      <c r="C313" s="40" t="n"/>
      <c r="D313" s="41" t="n"/>
      <c r="E313" s="30">
        <f>IF($C313="","",IF($B313="YM",IFERROR(INDEX(機種マスタ!$I$4:$I$203,MATCH($C313,機種マスタ!$J$4:$J$203,0)),"未登録"),IFERROR(INDEX(機種マスタ!$A$4:$A$363,MATCH($C313,機種マスタ!$B$4:$B$363,0)),"未登録")))</f>
        <v/>
      </c>
      <c r="F313" s="30">
        <f>IF($C313="","",IF($B313="YM",IFERROR(INDEX(機種マスタ!$K$4:$K$203,MATCH($C313,機種マスタ!$J$4:$J$203,0)),"-"),IFERROR(INDEX(機種マスタ!$C$4:$C$363,MATCH($C313,機種マスタ!$B$4:$B$363,0)),"-")))</f>
        <v/>
      </c>
      <c r="G313" s="30">
        <f>IF($C313="","",IF($B313="YM",IFERROR(N(INDEX(機種マスタ!$L$4:$L$203,MATCH($C313,機種マスタ!$J$4:$J$203,0))),0),IFERROR(N(INDEX(機種マスタ!$D$4:$D$363,MATCH($C313,機種マスタ!$B$4:$B$363,0))),0)))</f>
        <v/>
      </c>
      <c r="H313" s="30">
        <f>IF($C313="","",IF($D313="",1,$D313))</f>
        <v/>
      </c>
      <c r="I313" s="30">
        <f>IF($C313="","",IF(G313&gt;0,(G313+IFERROR(VLOOKUP(F313,機種マスタ!$Q$4:$R$6,2,FALSE),0))*H313,0))</f>
        <v/>
      </c>
    </row>
    <row r="314">
      <c r="A314" s="56" t="n"/>
      <c r="B314" s="41" t="n"/>
      <c r="C314" s="40" t="n"/>
      <c r="D314" s="41" t="n"/>
      <c r="E314" s="30">
        <f>IF($C314="","",IF($B314="YM",IFERROR(INDEX(機種マスタ!$I$4:$I$203,MATCH($C314,機種マスタ!$J$4:$J$203,0)),"未登録"),IFERROR(INDEX(機種マスタ!$A$4:$A$363,MATCH($C314,機種マスタ!$B$4:$B$363,0)),"未登録")))</f>
        <v/>
      </c>
      <c r="F314" s="30">
        <f>IF($C314="","",IF($B314="YM",IFERROR(INDEX(機種マスタ!$K$4:$K$203,MATCH($C314,機種マスタ!$J$4:$J$203,0)),"-"),IFERROR(INDEX(機種マスタ!$C$4:$C$363,MATCH($C314,機種マスタ!$B$4:$B$363,0)),"-")))</f>
        <v/>
      </c>
      <c r="G314" s="30">
        <f>IF($C314="","",IF($B314="YM",IFERROR(N(INDEX(機種マスタ!$L$4:$L$203,MATCH($C314,機種マスタ!$J$4:$J$203,0))),0),IFERROR(N(INDEX(機種マスタ!$D$4:$D$363,MATCH($C314,機種マスタ!$B$4:$B$363,0))),0)))</f>
        <v/>
      </c>
      <c r="H314" s="30">
        <f>IF($C314="","",IF($D314="",1,$D314))</f>
        <v/>
      </c>
      <c r="I314" s="30">
        <f>IF($C314="","",IF(G314&gt;0,(G314+IFERROR(VLOOKUP(F314,機種マスタ!$Q$4:$R$6,2,FALSE),0))*H314,0))</f>
        <v/>
      </c>
    </row>
    <row r="315">
      <c r="A315" s="56" t="n"/>
      <c r="B315" s="41" t="n"/>
      <c r="C315" s="40" t="n"/>
      <c r="D315" s="41" t="n"/>
      <c r="E315" s="30">
        <f>IF($C315="","",IF($B315="YM",IFERROR(INDEX(機種マスタ!$I$4:$I$203,MATCH($C315,機種マスタ!$J$4:$J$203,0)),"未登録"),IFERROR(INDEX(機種マスタ!$A$4:$A$363,MATCH($C315,機種マスタ!$B$4:$B$363,0)),"未登録")))</f>
        <v/>
      </c>
      <c r="F315" s="30">
        <f>IF($C315="","",IF($B315="YM",IFERROR(INDEX(機種マスタ!$K$4:$K$203,MATCH($C315,機種マスタ!$J$4:$J$203,0)),"-"),IFERROR(INDEX(機種マスタ!$C$4:$C$363,MATCH($C315,機種マスタ!$B$4:$B$363,0)),"-")))</f>
        <v/>
      </c>
      <c r="G315" s="30">
        <f>IF($C315="","",IF($B315="YM",IFERROR(N(INDEX(機種マスタ!$L$4:$L$203,MATCH($C315,機種マスタ!$J$4:$J$203,0))),0),IFERROR(N(INDEX(機種マスタ!$D$4:$D$363,MATCH($C315,機種マスタ!$B$4:$B$363,0))),0)))</f>
        <v/>
      </c>
      <c r="H315" s="30">
        <f>IF($C315="","",IF($D315="",1,$D315))</f>
        <v/>
      </c>
      <c r="I315" s="30">
        <f>IF($C315="","",IF(G315&gt;0,(G315+IFERROR(VLOOKUP(F315,機種マスタ!$Q$4:$R$6,2,FALSE),0))*H315,0))</f>
        <v/>
      </c>
    </row>
    <row r="316">
      <c r="A316" s="56" t="n"/>
      <c r="B316" s="41" t="n"/>
      <c r="C316" s="40" t="n"/>
      <c r="D316" s="41" t="n"/>
      <c r="E316" s="30">
        <f>IF($C316="","",IF($B316="YM",IFERROR(INDEX(機種マスタ!$I$4:$I$203,MATCH($C316,機種マスタ!$J$4:$J$203,0)),"未登録"),IFERROR(INDEX(機種マスタ!$A$4:$A$363,MATCH($C316,機種マスタ!$B$4:$B$363,0)),"未登録")))</f>
        <v/>
      </c>
      <c r="F316" s="30">
        <f>IF($C316="","",IF($B316="YM",IFERROR(INDEX(機種マスタ!$K$4:$K$203,MATCH($C316,機種マスタ!$J$4:$J$203,0)),"-"),IFERROR(INDEX(機種マスタ!$C$4:$C$363,MATCH($C316,機種マスタ!$B$4:$B$363,0)),"-")))</f>
        <v/>
      </c>
      <c r="G316" s="30">
        <f>IF($C316="","",IF($B316="YM",IFERROR(N(INDEX(機種マスタ!$L$4:$L$203,MATCH($C316,機種マスタ!$J$4:$J$203,0))),0),IFERROR(N(INDEX(機種マスタ!$D$4:$D$363,MATCH($C316,機種マスタ!$B$4:$B$363,0))),0)))</f>
        <v/>
      </c>
      <c r="H316" s="30">
        <f>IF($C316="","",IF($D316="",1,$D316))</f>
        <v/>
      </c>
      <c r="I316" s="30">
        <f>IF($C316="","",IF(G316&gt;0,(G316+IFERROR(VLOOKUP(F316,機種マスタ!$Q$4:$R$6,2,FALSE),0))*H316,0))</f>
        <v/>
      </c>
    </row>
    <row r="317">
      <c r="A317" s="56" t="n"/>
      <c r="B317" s="41" t="n"/>
      <c r="C317" s="40" t="n"/>
      <c r="D317" s="41" t="n"/>
      <c r="E317" s="30">
        <f>IF($C317="","",IF($B317="YM",IFERROR(INDEX(機種マスタ!$I$4:$I$203,MATCH($C317,機種マスタ!$J$4:$J$203,0)),"未登録"),IFERROR(INDEX(機種マスタ!$A$4:$A$363,MATCH($C317,機種マスタ!$B$4:$B$363,0)),"未登録")))</f>
        <v/>
      </c>
      <c r="F317" s="30">
        <f>IF($C317="","",IF($B317="YM",IFERROR(INDEX(機種マスタ!$K$4:$K$203,MATCH($C317,機種マスタ!$J$4:$J$203,0)),"-"),IFERROR(INDEX(機種マスタ!$C$4:$C$363,MATCH($C317,機種マスタ!$B$4:$B$363,0)),"-")))</f>
        <v/>
      </c>
      <c r="G317" s="30">
        <f>IF($C317="","",IF($B317="YM",IFERROR(N(INDEX(機種マスタ!$L$4:$L$203,MATCH($C317,機種マスタ!$J$4:$J$203,0))),0),IFERROR(N(INDEX(機種マスタ!$D$4:$D$363,MATCH($C317,機種マスタ!$B$4:$B$363,0))),0)))</f>
        <v/>
      </c>
      <c r="H317" s="30">
        <f>IF($C317="","",IF($D317="",1,$D317))</f>
        <v/>
      </c>
      <c r="I317" s="30">
        <f>IF($C317="","",IF(G317&gt;0,(G317+IFERROR(VLOOKUP(F317,機種マスタ!$Q$4:$R$6,2,FALSE),0))*H317,0))</f>
        <v/>
      </c>
    </row>
    <row r="318">
      <c r="A318" s="56" t="n"/>
      <c r="B318" s="41" t="n"/>
      <c r="C318" s="40" t="n"/>
      <c r="D318" s="41" t="n"/>
      <c r="E318" s="30">
        <f>IF($C318="","",IF($B318="YM",IFERROR(INDEX(機種マスタ!$I$4:$I$203,MATCH($C318,機種マスタ!$J$4:$J$203,0)),"未登録"),IFERROR(INDEX(機種マスタ!$A$4:$A$363,MATCH($C318,機種マスタ!$B$4:$B$363,0)),"未登録")))</f>
        <v/>
      </c>
      <c r="F318" s="30">
        <f>IF($C318="","",IF($B318="YM",IFERROR(INDEX(機種マスタ!$K$4:$K$203,MATCH($C318,機種マスタ!$J$4:$J$203,0)),"-"),IFERROR(INDEX(機種マスタ!$C$4:$C$363,MATCH($C318,機種マスタ!$B$4:$B$363,0)),"-")))</f>
        <v/>
      </c>
      <c r="G318" s="30">
        <f>IF($C318="","",IF($B318="YM",IFERROR(N(INDEX(機種マスタ!$L$4:$L$203,MATCH($C318,機種マスタ!$J$4:$J$203,0))),0),IFERROR(N(INDEX(機種マスタ!$D$4:$D$363,MATCH($C318,機種マスタ!$B$4:$B$363,0))),0)))</f>
        <v/>
      </c>
      <c r="H318" s="30">
        <f>IF($C318="","",IF($D318="",1,$D318))</f>
        <v/>
      </c>
      <c r="I318" s="30">
        <f>IF($C318="","",IF(G318&gt;0,(G318+IFERROR(VLOOKUP(F318,機種マスタ!$Q$4:$R$6,2,FALSE),0))*H318,0))</f>
        <v/>
      </c>
    </row>
    <row r="319">
      <c r="A319" s="56" t="n"/>
      <c r="B319" s="41" t="n"/>
      <c r="C319" s="40" t="n"/>
      <c r="D319" s="41" t="n"/>
      <c r="E319" s="30">
        <f>IF($C319="","",IF($B319="YM",IFERROR(INDEX(機種マスタ!$I$4:$I$203,MATCH($C319,機種マスタ!$J$4:$J$203,0)),"未登録"),IFERROR(INDEX(機種マスタ!$A$4:$A$363,MATCH($C319,機種マスタ!$B$4:$B$363,0)),"未登録")))</f>
        <v/>
      </c>
      <c r="F319" s="30">
        <f>IF($C319="","",IF($B319="YM",IFERROR(INDEX(機種マスタ!$K$4:$K$203,MATCH($C319,機種マスタ!$J$4:$J$203,0)),"-"),IFERROR(INDEX(機種マスタ!$C$4:$C$363,MATCH($C319,機種マスタ!$B$4:$B$363,0)),"-")))</f>
        <v/>
      </c>
      <c r="G319" s="30">
        <f>IF($C319="","",IF($B319="YM",IFERROR(N(INDEX(機種マスタ!$L$4:$L$203,MATCH($C319,機種マスタ!$J$4:$J$203,0))),0),IFERROR(N(INDEX(機種マスタ!$D$4:$D$363,MATCH($C319,機種マスタ!$B$4:$B$363,0))),0)))</f>
        <v/>
      </c>
      <c r="H319" s="30">
        <f>IF($C319="","",IF($D319="",1,$D319))</f>
        <v/>
      </c>
      <c r="I319" s="30">
        <f>IF($C319="","",IF(G319&gt;0,(G319+IFERROR(VLOOKUP(F319,機種マスタ!$Q$4:$R$6,2,FALSE),0))*H319,0))</f>
        <v/>
      </c>
    </row>
    <row r="320">
      <c r="A320" s="56" t="n"/>
      <c r="B320" s="41" t="n"/>
      <c r="C320" s="40" t="n"/>
      <c r="D320" s="41" t="n"/>
      <c r="E320" s="30">
        <f>IF($C320="","",IF($B320="YM",IFERROR(INDEX(機種マスタ!$I$4:$I$203,MATCH($C320,機種マスタ!$J$4:$J$203,0)),"未登録"),IFERROR(INDEX(機種マスタ!$A$4:$A$363,MATCH($C320,機種マスタ!$B$4:$B$363,0)),"未登録")))</f>
        <v/>
      </c>
      <c r="F320" s="30">
        <f>IF($C320="","",IF($B320="YM",IFERROR(INDEX(機種マスタ!$K$4:$K$203,MATCH($C320,機種マスタ!$J$4:$J$203,0)),"-"),IFERROR(INDEX(機種マスタ!$C$4:$C$363,MATCH($C320,機種マスタ!$B$4:$B$363,0)),"-")))</f>
        <v/>
      </c>
      <c r="G320" s="30">
        <f>IF($C320="","",IF($B320="YM",IFERROR(N(INDEX(機種マスタ!$L$4:$L$203,MATCH($C320,機種マスタ!$J$4:$J$203,0))),0),IFERROR(N(INDEX(機種マスタ!$D$4:$D$363,MATCH($C320,機種マスタ!$B$4:$B$363,0))),0)))</f>
        <v/>
      </c>
      <c r="H320" s="30">
        <f>IF($C320="","",IF($D320="",1,$D320))</f>
        <v/>
      </c>
      <c r="I320" s="30">
        <f>IF($C320="","",IF(G320&gt;0,(G320+IFERROR(VLOOKUP(F320,機種マスタ!$Q$4:$R$6,2,FALSE),0))*H320,0))</f>
        <v/>
      </c>
    </row>
    <row r="321">
      <c r="A321" s="56" t="n"/>
      <c r="B321" s="41" t="n"/>
      <c r="C321" s="40" t="n"/>
      <c r="D321" s="41" t="n"/>
      <c r="E321" s="30">
        <f>IF($C321="","",IF($B321="YM",IFERROR(INDEX(機種マスタ!$I$4:$I$203,MATCH($C321,機種マスタ!$J$4:$J$203,0)),"未登録"),IFERROR(INDEX(機種マスタ!$A$4:$A$363,MATCH($C321,機種マスタ!$B$4:$B$363,0)),"未登録")))</f>
        <v/>
      </c>
      <c r="F321" s="30">
        <f>IF($C321="","",IF($B321="YM",IFERROR(INDEX(機種マスタ!$K$4:$K$203,MATCH($C321,機種マスタ!$J$4:$J$203,0)),"-"),IFERROR(INDEX(機種マスタ!$C$4:$C$363,MATCH($C321,機種マスタ!$B$4:$B$363,0)),"-")))</f>
        <v/>
      </c>
      <c r="G321" s="30">
        <f>IF($C321="","",IF($B321="YM",IFERROR(N(INDEX(機種マスタ!$L$4:$L$203,MATCH($C321,機種マスタ!$J$4:$J$203,0))),0),IFERROR(N(INDEX(機種マスタ!$D$4:$D$363,MATCH($C321,機種マスタ!$B$4:$B$363,0))),0)))</f>
        <v/>
      </c>
      <c r="H321" s="30">
        <f>IF($C321="","",IF($D321="",1,$D321))</f>
        <v/>
      </c>
      <c r="I321" s="30">
        <f>IF($C321="","",IF(G321&gt;0,(G321+IFERROR(VLOOKUP(F321,機種マスタ!$Q$4:$R$6,2,FALSE),0))*H321,0))</f>
        <v/>
      </c>
    </row>
    <row r="322">
      <c r="A322" s="56" t="n"/>
      <c r="B322" s="41" t="n"/>
      <c r="C322" s="40" t="n"/>
      <c r="D322" s="41" t="n"/>
      <c r="E322" s="30">
        <f>IF($C322="","",IF($B322="YM",IFERROR(INDEX(機種マスタ!$I$4:$I$203,MATCH($C322,機種マスタ!$J$4:$J$203,0)),"未登録"),IFERROR(INDEX(機種マスタ!$A$4:$A$363,MATCH($C322,機種マスタ!$B$4:$B$363,0)),"未登録")))</f>
        <v/>
      </c>
      <c r="F322" s="30">
        <f>IF($C322="","",IF($B322="YM",IFERROR(INDEX(機種マスタ!$K$4:$K$203,MATCH($C322,機種マスタ!$J$4:$J$203,0)),"-"),IFERROR(INDEX(機種マスタ!$C$4:$C$363,MATCH($C322,機種マスタ!$B$4:$B$363,0)),"-")))</f>
        <v/>
      </c>
      <c r="G322" s="30">
        <f>IF($C322="","",IF($B322="YM",IFERROR(N(INDEX(機種マスタ!$L$4:$L$203,MATCH($C322,機種マスタ!$J$4:$J$203,0))),0),IFERROR(N(INDEX(機種マスタ!$D$4:$D$363,MATCH($C322,機種マスタ!$B$4:$B$363,0))),0)))</f>
        <v/>
      </c>
      <c r="H322" s="30">
        <f>IF($C322="","",IF($D322="",1,$D322))</f>
        <v/>
      </c>
      <c r="I322" s="30">
        <f>IF($C322="","",IF(G322&gt;0,(G322+IFERROR(VLOOKUP(F322,機種マスタ!$Q$4:$R$6,2,FALSE),0))*H322,0))</f>
        <v/>
      </c>
    </row>
    <row r="323">
      <c r="A323" s="56" t="n"/>
      <c r="B323" s="41" t="n"/>
      <c r="C323" s="40" t="n"/>
      <c r="D323" s="41" t="n"/>
      <c r="E323" s="30">
        <f>IF($C323="","",IF($B323="YM",IFERROR(INDEX(機種マスタ!$I$4:$I$203,MATCH($C323,機種マスタ!$J$4:$J$203,0)),"未登録"),IFERROR(INDEX(機種マスタ!$A$4:$A$363,MATCH($C323,機種マスタ!$B$4:$B$363,0)),"未登録")))</f>
        <v/>
      </c>
      <c r="F323" s="30">
        <f>IF($C323="","",IF($B323="YM",IFERROR(INDEX(機種マスタ!$K$4:$K$203,MATCH($C323,機種マスタ!$J$4:$J$203,0)),"-"),IFERROR(INDEX(機種マスタ!$C$4:$C$363,MATCH($C323,機種マスタ!$B$4:$B$363,0)),"-")))</f>
        <v/>
      </c>
      <c r="G323" s="30">
        <f>IF($C323="","",IF($B323="YM",IFERROR(N(INDEX(機種マスタ!$L$4:$L$203,MATCH($C323,機種マスタ!$J$4:$J$203,0))),0),IFERROR(N(INDEX(機種マスタ!$D$4:$D$363,MATCH($C323,機種マスタ!$B$4:$B$363,0))),0)))</f>
        <v/>
      </c>
      <c r="H323" s="30">
        <f>IF($C323="","",IF($D323="",1,$D323))</f>
        <v/>
      </c>
      <c r="I323" s="30">
        <f>IF($C323="","",IF(G323&gt;0,(G323+IFERROR(VLOOKUP(F323,機種マスタ!$Q$4:$R$6,2,FALSE),0))*H323,0))</f>
        <v/>
      </c>
    </row>
    <row r="324">
      <c r="A324" s="56" t="n"/>
      <c r="B324" s="41" t="n"/>
      <c r="C324" s="40" t="n"/>
      <c r="D324" s="41" t="n"/>
      <c r="E324" s="30">
        <f>IF($C324="","",IF($B324="YM",IFERROR(INDEX(機種マスタ!$I$4:$I$203,MATCH($C324,機種マスタ!$J$4:$J$203,0)),"未登録"),IFERROR(INDEX(機種マスタ!$A$4:$A$363,MATCH($C324,機種マスタ!$B$4:$B$363,0)),"未登録")))</f>
        <v/>
      </c>
      <c r="F324" s="30">
        <f>IF($C324="","",IF($B324="YM",IFERROR(INDEX(機種マスタ!$K$4:$K$203,MATCH($C324,機種マスタ!$J$4:$J$203,0)),"-"),IFERROR(INDEX(機種マスタ!$C$4:$C$363,MATCH($C324,機種マスタ!$B$4:$B$363,0)),"-")))</f>
        <v/>
      </c>
      <c r="G324" s="30">
        <f>IF($C324="","",IF($B324="YM",IFERROR(N(INDEX(機種マスタ!$L$4:$L$203,MATCH($C324,機種マスタ!$J$4:$J$203,0))),0),IFERROR(N(INDEX(機種マスタ!$D$4:$D$363,MATCH($C324,機種マスタ!$B$4:$B$363,0))),0)))</f>
        <v/>
      </c>
      <c r="H324" s="30">
        <f>IF($C324="","",IF($D324="",1,$D324))</f>
        <v/>
      </c>
      <c r="I324" s="30">
        <f>IF($C324="","",IF(G324&gt;0,(G324+IFERROR(VLOOKUP(F324,機種マスタ!$Q$4:$R$6,2,FALSE),0))*H324,0))</f>
        <v/>
      </c>
    </row>
    <row r="325">
      <c r="A325" s="56" t="n"/>
      <c r="B325" s="41" t="n"/>
      <c r="C325" s="40" t="n"/>
      <c r="D325" s="41" t="n"/>
      <c r="E325" s="30">
        <f>IF($C325="","",IF($B325="YM",IFERROR(INDEX(機種マスタ!$I$4:$I$203,MATCH($C325,機種マスタ!$J$4:$J$203,0)),"未登録"),IFERROR(INDEX(機種マスタ!$A$4:$A$363,MATCH($C325,機種マスタ!$B$4:$B$363,0)),"未登録")))</f>
        <v/>
      </c>
      <c r="F325" s="30">
        <f>IF($C325="","",IF($B325="YM",IFERROR(INDEX(機種マスタ!$K$4:$K$203,MATCH($C325,機種マスタ!$J$4:$J$203,0)),"-"),IFERROR(INDEX(機種マスタ!$C$4:$C$363,MATCH($C325,機種マスタ!$B$4:$B$363,0)),"-")))</f>
        <v/>
      </c>
      <c r="G325" s="30">
        <f>IF($C325="","",IF($B325="YM",IFERROR(N(INDEX(機種マスタ!$L$4:$L$203,MATCH($C325,機種マスタ!$J$4:$J$203,0))),0),IFERROR(N(INDEX(機種マスタ!$D$4:$D$363,MATCH($C325,機種マスタ!$B$4:$B$363,0))),0)))</f>
        <v/>
      </c>
      <c r="H325" s="30">
        <f>IF($C325="","",IF($D325="",1,$D325))</f>
        <v/>
      </c>
      <c r="I325" s="30">
        <f>IF($C325="","",IF(G325&gt;0,(G325+IFERROR(VLOOKUP(F325,機種マスタ!$Q$4:$R$6,2,FALSE),0))*H325,0))</f>
        <v/>
      </c>
    </row>
    <row r="326">
      <c r="A326" s="56" t="n"/>
      <c r="B326" s="41" t="n"/>
      <c r="C326" s="40" t="n"/>
      <c r="D326" s="41" t="n"/>
      <c r="E326" s="30">
        <f>IF($C326="","",IF($B326="YM",IFERROR(INDEX(機種マスタ!$I$4:$I$203,MATCH($C326,機種マスタ!$J$4:$J$203,0)),"未登録"),IFERROR(INDEX(機種マスタ!$A$4:$A$363,MATCH($C326,機種マスタ!$B$4:$B$363,0)),"未登録")))</f>
        <v/>
      </c>
      <c r="F326" s="30">
        <f>IF($C326="","",IF($B326="YM",IFERROR(INDEX(機種マスタ!$K$4:$K$203,MATCH($C326,機種マスタ!$J$4:$J$203,0)),"-"),IFERROR(INDEX(機種マスタ!$C$4:$C$363,MATCH($C326,機種マスタ!$B$4:$B$363,0)),"-")))</f>
        <v/>
      </c>
      <c r="G326" s="30">
        <f>IF($C326="","",IF($B326="YM",IFERROR(N(INDEX(機種マスタ!$L$4:$L$203,MATCH($C326,機種マスタ!$J$4:$J$203,0))),0),IFERROR(N(INDEX(機種マスタ!$D$4:$D$363,MATCH($C326,機種マスタ!$B$4:$B$363,0))),0)))</f>
        <v/>
      </c>
      <c r="H326" s="30">
        <f>IF($C326="","",IF($D326="",1,$D326))</f>
        <v/>
      </c>
      <c r="I326" s="30">
        <f>IF($C326="","",IF(G326&gt;0,(G326+IFERROR(VLOOKUP(F326,機種マスタ!$Q$4:$R$6,2,FALSE),0))*H326,0))</f>
        <v/>
      </c>
    </row>
    <row r="327">
      <c r="A327" s="56" t="n"/>
      <c r="B327" s="41" t="n"/>
      <c r="C327" s="40" t="n"/>
      <c r="D327" s="41" t="n"/>
      <c r="E327" s="30">
        <f>IF($C327="","",IF($B327="YM",IFERROR(INDEX(機種マスタ!$I$4:$I$203,MATCH($C327,機種マスタ!$J$4:$J$203,0)),"未登録"),IFERROR(INDEX(機種マスタ!$A$4:$A$363,MATCH($C327,機種マスタ!$B$4:$B$363,0)),"未登録")))</f>
        <v/>
      </c>
      <c r="F327" s="30">
        <f>IF($C327="","",IF($B327="YM",IFERROR(INDEX(機種マスタ!$K$4:$K$203,MATCH($C327,機種マスタ!$J$4:$J$203,0)),"-"),IFERROR(INDEX(機種マスタ!$C$4:$C$363,MATCH($C327,機種マスタ!$B$4:$B$363,0)),"-")))</f>
        <v/>
      </c>
      <c r="G327" s="30">
        <f>IF($C327="","",IF($B327="YM",IFERROR(N(INDEX(機種マスタ!$L$4:$L$203,MATCH($C327,機種マスタ!$J$4:$J$203,0))),0),IFERROR(N(INDEX(機種マスタ!$D$4:$D$363,MATCH($C327,機種マスタ!$B$4:$B$363,0))),0)))</f>
        <v/>
      </c>
      <c r="H327" s="30">
        <f>IF($C327="","",IF($D327="",1,$D327))</f>
        <v/>
      </c>
      <c r="I327" s="30">
        <f>IF($C327="","",IF(G327&gt;0,(G327+IFERROR(VLOOKUP(F327,機種マスタ!$Q$4:$R$6,2,FALSE),0))*H327,0))</f>
        <v/>
      </c>
    </row>
    <row r="328">
      <c r="A328" s="56" t="n"/>
      <c r="B328" s="41" t="n"/>
      <c r="C328" s="40" t="n"/>
      <c r="D328" s="41" t="n"/>
      <c r="E328" s="30">
        <f>IF($C328="","",IF($B328="YM",IFERROR(INDEX(機種マスタ!$I$4:$I$203,MATCH($C328,機種マスタ!$J$4:$J$203,0)),"未登録"),IFERROR(INDEX(機種マスタ!$A$4:$A$363,MATCH($C328,機種マスタ!$B$4:$B$363,0)),"未登録")))</f>
        <v/>
      </c>
      <c r="F328" s="30">
        <f>IF($C328="","",IF($B328="YM",IFERROR(INDEX(機種マスタ!$K$4:$K$203,MATCH($C328,機種マスタ!$J$4:$J$203,0)),"-"),IFERROR(INDEX(機種マスタ!$C$4:$C$363,MATCH($C328,機種マスタ!$B$4:$B$363,0)),"-")))</f>
        <v/>
      </c>
      <c r="G328" s="30">
        <f>IF($C328="","",IF($B328="YM",IFERROR(N(INDEX(機種マスタ!$L$4:$L$203,MATCH($C328,機種マスタ!$J$4:$J$203,0))),0),IFERROR(N(INDEX(機種マスタ!$D$4:$D$363,MATCH($C328,機種マスタ!$B$4:$B$363,0))),0)))</f>
        <v/>
      </c>
      <c r="H328" s="30">
        <f>IF($C328="","",IF($D328="",1,$D328))</f>
        <v/>
      </c>
      <c r="I328" s="30">
        <f>IF($C328="","",IF(G328&gt;0,(G328+IFERROR(VLOOKUP(F328,機種マスタ!$Q$4:$R$6,2,FALSE),0))*H328,0))</f>
        <v/>
      </c>
    </row>
    <row r="329">
      <c r="A329" s="56" t="n"/>
      <c r="B329" s="41" t="n"/>
      <c r="C329" s="40" t="n"/>
      <c r="D329" s="41" t="n"/>
      <c r="E329" s="30">
        <f>IF($C329="","",IF($B329="YM",IFERROR(INDEX(機種マスタ!$I$4:$I$203,MATCH($C329,機種マスタ!$J$4:$J$203,0)),"未登録"),IFERROR(INDEX(機種マスタ!$A$4:$A$363,MATCH($C329,機種マスタ!$B$4:$B$363,0)),"未登録")))</f>
        <v/>
      </c>
      <c r="F329" s="30">
        <f>IF($C329="","",IF($B329="YM",IFERROR(INDEX(機種マスタ!$K$4:$K$203,MATCH($C329,機種マスタ!$J$4:$J$203,0)),"-"),IFERROR(INDEX(機種マスタ!$C$4:$C$363,MATCH($C329,機種マスタ!$B$4:$B$363,0)),"-")))</f>
        <v/>
      </c>
      <c r="G329" s="30">
        <f>IF($C329="","",IF($B329="YM",IFERROR(N(INDEX(機種マスタ!$L$4:$L$203,MATCH($C329,機種マスタ!$J$4:$J$203,0))),0),IFERROR(N(INDEX(機種マスタ!$D$4:$D$363,MATCH($C329,機種マスタ!$B$4:$B$363,0))),0)))</f>
        <v/>
      </c>
      <c r="H329" s="30">
        <f>IF($C329="","",IF($D329="",1,$D329))</f>
        <v/>
      </c>
      <c r="I329" s="30">
        <f>IF($C329="","",IF(G329&gt;0,(G329+IFERROR(VLOOKUP(F329,機種マスタ!$Q$4:$R$6,2,FALSE),0))*H329,0))</f>
        <v/>
      </c>
    </row>
    <row r="330">
      <c r="A330" s="56" t="n"/>
      <c r="B330" s="41" t="n"/>
      <c r="C330" s="40" t="n"/>
      <c r="D330" s="41" t="n"/>
      <c r="E330" s="30">
        <f>IF($C330="","",IF($B330="YM",IFERROR(INDEX(機種マスタ!$I$4:$I$203,MATCH($C330,機種マスタ!$J$4:$J$203,0)),"未登録"),IFERROR(INDEX(機種マスタ!$A$4:$A$363,MATCH($C330,機種マスタ!$B$4:$B$363,0)),"未登録")))</f>
        <v/>
      </c>
      <c r="F330" s="30">
        <f>IF($C330="","",IF($B330="YM",IFERROR(INDEX(機種マスタ!$K$4:$K$203,MATCH($C330,機種マスタ!$J$4:$J$203,0)),"-"),IFERROR(INDEX(機種マスタ!$C$4:$C$363,MATCH($C330,機種マスタ!$B$4:$B$363,0)),"-")))</f>
        <v/>
      </c>
      <c r="G330" s="30">
        <f>IF($C330="","",IF($B330="YM",IFERROR(N(INDEX(機種マスタ!$L$4:$L$203,MATCH($C330,機種マスタ!$J$4:$J$203,0))),0),IFERROR(N(INDEX(機種マスタ!$D$4:$D$363,MATCH($C330,機種マスタ!$B$4:$B$363,0))),0)))</f>
        <v/>
      </c>
      <c r="H330" s="30">
        <f>IF($C330="","",IF($D330="",1,$D330))</f>
        <v/>
      </c>
      <c r="I330" s="30">
        <f>IF($C330="","",IF(G330&gt;0,(G330+IFERROR(VLOOKUP(F330,機種マスタ!$Q$4:$R$6,2,FALSE),0))*H330,0))</f>
        <v/>
      </c>
    </row>
    <row r="331">
      <c r="A331" s="56" t="n"/>
      <c r="B331" s="41" t="n"/>
      <c r="C331" s="40" t="n"/>
      <c r="D331" s="41" t="n"/>
      <c r="E331" s="30">
        <f>IF($C331="","",IF($B331="YM",IFERROR(INDEX(機種マスタ!$I$4:$I$203,MATCH($C331,機種マスタ!$J$4:$J$203,0)),"未登録"),IFERROR(INDEX(機種マスタ!$A$4:$A$363,MATCH($C331,機種マスタ!$B$4:$B$363,0)),"未登録")))</f>
        <v/>
      </c>
      <c r="F331" s="30">
        <f>IF($C331="","",IF($B331="YM",IFERROR(INDEX(機種マスタ!$K$4:$K$203,MATCH($C331,機種マスタ!$J$4:$J$203,0)),"-"),IFERROR(INDEX(機種マスタ!$C$4:$C$363,MATCH($C331,機種マスタ!$B$4:$B$363,0)),"-")))</f>
        <v/>
      </c>
      <c r="G331" s="30">
        <f>IF($C331="","",IF($B331="YM",IFERROR(N(INDEX(機種マスタ!$L$4:$L$203,MATCH($C331,機種マスタ!$J$4:$J$203,0))),0),IFERROR(N(INDEX(機種マスタ!$D$4:$D$363,MATCH($C331,機種マスタ!$B$4:$B$363,0))),0)))</f>
        <v/>
      </c>
      <c r="H331" s="30">
        <f>IF($C331="","",IF($D331="",1,$D331))</f>
        <v/>
      </c>
      <c r="I331" s="30">
        <f>IF($C331="","",IF(G331&gt;0,(G331+IFERROR(VLOOKUP(F331,機種マスタ!$Q$4:$R$6,2,FALSE),0))*H331,0))</f>
        <v/>
      </c>
    </row>
    <row r="332">
      <c r="A332" s="56" t="n"/>
      <c r="B332" s="41" t="n"/>
      <c r="C332" s="40" t="n"/>
      <c r="D332" s="41" t="n"/>
      <c r="E332" s="30">
        <f>IF($C332="","",IF($B332="YM",IFERROR(INDEX(機種マスタ!$I$4:$I$203,MATCH($C332,機種マスタ!$J$4:$J$203,0)),"未登録"),IFERROR(INDEX(機種マスタ!$A$4:$A$363,MATCH($C332,機種マスタ!$B$4:$B$363,0)),"未登録")))</f>
        <v/>
      </c>
      <c r="F332" s="30">
        <f>IF($C332="","",IF($B332="YM",IFERROR(INDEX(機種マスタ!$K$4:$K$203,MATCH($C332,機種マスタ!$J$4:$J$203,0)),"-"),IFERROR(INDEX(機種マスタ!$C$4:$C$363,MATCH($C332,機種マスタ!$B$4:$B$363,0)),"-")))</f>
        <v/>
      </c>
      <c r="G332" s="30">
        <f>IF($C332="","",IF($B332="YM",IFERROR(N(INDEX(機種マスタ!$L$4:$L$203,MATCH($C332,機種マスタ!$J$4:$J$203,0))),0),IFERROR(N(INDEX(機種マスタ!$D$4:$D$363,MATCH($C332,機種マスタ!$B$4:$B$363,0))),0)))</f>
        <v/>
      </c>
      <c r="H332" s="30">
        <f>IF($C332="","",IF($D332="",1,$D332))</f>
        <v/>
      </c>
      <c r="I332" s="30">
        <f>IF($C332="","",IF(G332&gt;0,(G332+IFERROR(VLOOKUP(F332,機種マスタ!$Q$4:$R$6,2,FALSE),0))*H332,0))</f>
        <v/>
      </c>
    </row>
    <row r="333">
      <c r="A333" s="56" t="n"/>
      <c r="B333" s="41" t="n"/>
      <c r="C333" s="40" t="n"/>
      <c r="D333" s="41" t="n"/>
      <c r="E333" s="30">
        <f>IF($C333="","",IF($B333="YM",IFERROR(INDEX(機種マスタ!$I$4:$I$203,MATCH($C333,機種マスタ!$J$4:$J$203,0)),"未登録"),IFERROR(INDEX(機種マスタ!$A$4:$A$363,MATCH($C333,機種マスタ!$B$4:$B$363,0)),"未登録")))</f>
        <v/>
      </c>
      <c r="F333" s="30">
        <f>IF($C333="","",IF($B333="YM",IFERROR(INDEX(機種マスタ!$K$4:$K$203,MATCH($C333,機種マスタ!$J$4:$J$203,0)),"-"),IFERROR(INDEX(機種マスタ!$C$4:$C$363,MATCH($C333,機種マスタ!$B$4:$B$363,0)),"-")))</f>
        <v/>
      </c>
      <c r="G333" s="30">
        <f>IF($C333="","",IF($B333="YM",IFERROR(N(INDEX(機種マスタ!$L$4:$L$203,MATCH($C333,機種マスタ!$J$4:$J$203,0))),0),IFERROR(N(INDEX(機種マスタ!$D$4:$D$363,MATCH($C333,機種マスタ!$B$4:$B$363,0))),0)))</f>
        <v/>
      </c>
      <c r="H333" s="30">
        <f>IF($C333="","",IF($D333="",1,$D333))</f>
        <v/>
      </c>
      <c r="I333" s="30">
        <f>IF($C333="","",IF(G333&gt;0,(G333+IFERROR(VLOOKUP(F333,機種マスタ!$Q$4:$R$6,2,FALSE),0))*H333,0))</f>
        <v/>
      </c>
    </row>
    <row r="334">
      <c r="A334" s="56" t="n"/>
      <c r="B334" s="41" t="n"/>
      <c r="C334" s="40" t="n"/>
      <c r="D334" s="41" t="n"/>
      <c r="E334" s="30">
        <f>IF($C334="","",IF($B334="YM",IFERROR(INDEX(機種マスタ!$I$4:$I$203,MATCH($C334,機種マスタ!$J$4:$J$203,0)),"未登録"),IFERROR(INDEX(機種マスタ!$A$4:$A$363,MATCH($C334,機種マスタ!$B$4:$B$363,0)),"未登録")))</f>
        <v/>
      </c>
      <c r="F334" s="30">
        <f>IF($C334="","",IF($B334="YM",IFERROR(INDEX(機種マスタ!$K$4:$K$203,MATCH($C334,機種マスタ!$J$4:$J$203,0)),"-"),IFERROR(INDEX(機種マスタ!$C$4:$C$363,MATCH($C334,機種マスタ!$B$4:$B$363,0)),"-")))</f>
        <v/>
      </c>
      <c r="G334" s="30">
        <f>IF($C334="","",IF($B334="YM",IFERROR(N(INDEX(機種マスタ!$L$4:$L$203,MATCH($C334,機種マスタ!$J$4:$J$203,0))),0),IFERROR(N(INDEX(機種マスタ!$D$4:$D$363,MATCH($C334,機種マスタ!$B$4:$B$363,0))),0)))</f>
        <v/>
      </c>
      <c r="H334" s="30">
        <f>IF($C334="","",IF($D334="",1,$D334))</f>
        <v/>
      </c>
      <c r="I334" s="30">
        <f>IF($C334="","",IF(G334&gt;0,(G334+IFERROR(VLOOKUP(F334,機種マスタ!$Q$4:$R$6,2,FALSE),0))*H334,0))</f>
        <v/>
      </c>
    </row>
    <row r="335">
      <c r="A335" s="56" t="n"/>
      <c r="B335" s="41" t="n"/>
      <c r="C335" s="40" t="n"/>
      <c r="D335" s="41" t="n"/>
      <c r="E335" s="30">
        <f>IF($C335="","",IF($B335="YM",IFERROR(INDEX(機種マスタ!$I$4:$I$203,MATCH($C335,機種マスタ!$J$4:$J$203,0)),"未登録"),IFERROR(INDEX(機種マスタ!$A$4:$A$363,MATCH($C335,機種マスタ!$B$4:$B$363,0)),"未登録")))</f>
        <v/>
      </c>
      <c r="F335" s="30">
        <f>IF($C335="","",IF($B335="YM",IFERROR(INDEX(機種マスタ!$K$4:$K$203,MATCH($C335,機種マスタ!$J$4:$J$203,0)),"-"),IFERROR(INDEX(機種マスタ!$C$4:$C$363,MATCH($C335,機種マスタ!$B$4:$B$363,0)),"-")))</f>
        <v/>
      </c>
      <c r="G335" s="30">
        <f>IF($C335="","",IF($B335="YM",IFERROR(N(INDEX(機種マスタ!$L$4:$L$203,MATCH($C335,機種マスタ!$J$4:$J$203,0))),0),IFERROR(N(INDEX(機種マスタ!$D$4:$D$363,MATCH($C335,機種マスタ!$B$4:$B$363,0))),0)))</f>
        <v/>
      </c>
      <c r="H335" s="30">
        <f>IF($C335="","",IF($D335="",1,$D335))</f>
        <v/>
      </c>
      <c r="I335" s="30">
        <f>IF($C335="","",IF(G335&gt;0,(G335+IFERROR(VLOOKUP(F335,機種マスタ!$Q$4:$R$6,2,FALSE),0))*H335,0))</f>
        <v/>
      </c>
    </row>
    <row r="336">
      <c r="A336" s="56" t="n"/>
      <c r="B336" s="41" t="n"/>
      <c r="C336" s="40" t="n"/>
      <c r="D336" s="41" t="n"/>
      <c r="E336" s="30">
        <f>IF($C336="","",IF($B336="YM",IFERROR(INDEX(機種マスタ!$I$4:$I$203,MATCH($C336,機種マスタ!$J$4:$J$203,0)),"未登録"),IFERROR(INDEX(機種マスタ!$A$4:$A$363,MATCH($C336,機種マスタ!$B$4:$B$363,0)),"未登録")))</f>
        <v/>
      </c>
      <c r="F336" s="30">
        <f>IF($C336="","",IF($B336="YM",IFERROR(INDEX(機種マスタ!$K$4:$K$203,MATCH($C336,機種マスタ!$J$4:$J$203,0)),"-"),IFERROR(INDEX(機種マスタ!$C$4:$C$363,MATCH($C336,機種マスタ!$B$4:$B$363,0)),"-")))</f>
        <v/>
      </c>
      <c r="G336" s="30">
        <f>IF($C336="","",IF($B336="YM",IFERROR(N(INDEX(機種マスタ!$L$4:$L$203,MATCH($C336,機種マスタ!$J$4:$J$203,0))),0),IFERROR(N(INDEX(機種マスタ!$D$4:$D$363,MATCH($C336,機種マスタ!$B$4:$B$363,0))),0)))</f>
        <v/>
      </c>
      <c r="H336" s="30">
        <f>IF($C336="","",IF($D336="",1,$D336))</f>
        <v/>
      </c>
      <c r="I336" s="30">
        <f>IF($C336="","",IF(G336&gt;0,(G336+IFERROR(VLOOKUP(F336,機種マスタ!$Q$4:$R$6,2,FALSE),0))*H336,0))</f>
        <v/>
      </c>
    </row>
    <row r="337">
      <c r="A337" s="56" t="n"/>
      <c r="B337" s="41" t="n"/>
      <c r="C337" s="40" t="n"/>
      <c r="D337" s="41" t="n"/>
      <c r="E337" s="30">
        <f>IF($C337="","",IF($B337="YM",IFERROR(INDEX(機種マスタ!$I$4:$I$203,MATCH($C337,機種マスタ!$J$4:$J$203,0)),"未登録"),IFERROR(INDEX(機種マスタ!$A$4:$A$363,MATCH($C337,機種マスタ!$B$4:$B$363,0)),"未登録")))</f>
        <v/>
      </c>
      <c r="F337" s="30">
        <f>IF($C337="","",IF($B337="YM",IFERROR(INDEX(機種マスタ!$K$4:$K$203,MATCH($C337,機種マスタ!$J$4:$J$203,0)),"-"),IFERROR(INDEX(機種マスタ!$C$4:$C$363,MATCH($C337,機種マスタ!$B$4:$B$363,0)),"-")))</f>
        <v/>
      </c>
      <c r="G337" s="30">
        <f>IF($C337="","",IF($B337="YM",IFERROR(N(INDEX(機種マスタ!$L$4:$L$203,MATCH($C337,機種マスタ!$J$4:$J$203,0))),0),IFERROR(N(INDEX(機種マスタ!$D$4:$D$363,MATCH($C337,機種マスタ!$B$4:$B$363,0))),0)))</f>
        <v/>
      </c>
      <c r="H337" s="30">
        <f>IF($C337="","",IF($D337="",1,$D337))</f>
        <v/>
      </c>
      <c r="I337" s="30">
        <f>IF($C337="","",IF(G337&gt;0,(G337+IFERROR(VLOOKUP(F337,機種マスタ!$Q$4:$R$6,2,FALSE),0))*H337,0))</f>
        <v/>
      </c>
    </row>
    <row r="338">
      <c r="A338" s="56" t="n"/>
      <c r="B338" s="41" t="n"/>
      <c r="C338" s="40" t="n"/>
      <c r="D338" s="41" t="n"/>
      <c r="E338" s="30">
        <f>IF($C338="","",IF($B338="YM",IFERROR(INDEX(機種マスタ!$I$4:$I$203,MATCH($C338,機種マスタ!$J$4:$J$203,0)),"未登録"),IFERROR(INDEX(機種マスタ!$A$4:$A$363,MATCH($C338,機種マスタ!$B$4:$B$363,0)),"未登録")))</f>
        <v/>
      </c>
      <c r="F338" s="30">
        <f>IF($C338="","",IF($B338="YM",IFERROR(INDEX(機種マスタ!$K$4:$K$203,MATCH($C338,機種マスタ!$J$4:$J$203,0)),"-"),IFERROR(INDEX(機種マスタ!$C$4:$C$363,MATCH($C338,機種マスタ!$B$4:$B$363,0)),"-")))</f>
        <v/>
      </c>
      <c r="G338" s="30">
        <f>IF($C338="","",IF($B338="YM",IFERROR(N(INDEX(機種マスタ!$L$4:$L$203,MATCH($C338,機種マスタ!$J$4:$J$203,0))),0),IFERROR(N(INDEX(機種マスタ!$D$4:$D$363,MATCH($C338,機種マスタ!$B$4:$B$363,0))),0)))</f>
        <v/>
      </c>
      <c r="H338" s="30">
        <f>IF($C338="","",IF($D338="",1,$D338))</f>
        <v/>
      </c>
      <c r="I338" s="30">
        <f>IF($C338="","",IF(G338&gt;0,(G338+IFERROR(VLOOKUP(F338,機種マスタ!$Q$4:$R$6,2,FALSE),0))*H338,0))</f>
        <v/>
      </c>
    </row>
    <row r="339">
      <c r="A339" s="56" t="n"/>
      <c r="B339" s="41" t="n"/>
      <c r="C339" s="40" t="n"/>
      <c r="D339" s="41" t="n"/>
      <c r="E339" s="30">
        <f>IF($C339="","",IF($B339="YM",IFERROR(INDEX(機種マスタ!$I$4:$I$203,MATCH($C339,機種マスタ!$J$4:$J$203,0)),"未登録"),IFERROR(INDEX(機種マスタ!$A$4:$A$363,MATCH($C339,機種マスタ!$B$4:$B$363,0)),"未登録")))</f>
        <v/>
      </c>
      <c r="F339" s="30">
        <f>IF($C339="","",IF($B339="YM",IFERROR(INDEX(機種マスタ!$K$4:$K$203,MATCH($C339,機種マスタ!$J$4:$J$203,0)),"-"),IFERROR(INDEX(機種マスタ!$C$4:$C$363,MATCH($C339,機種マスタ!$B$4:$B$363,0)),"-")))</f>
        <v/>
      </c>
      <c r="G339" s="30">
        <f>IF($C339="","",IF($B339="YM",IFERROR(N(INDEX(機種マスタ!$L$4:$L$203,MATCH($C339,機種マスタ!$J$4:$J$203,0))),0),IFERROR(N(INDEX(機種マスタ!$D$4:$D$363,MATCH($C339,機種マスタ!$B$4:$B$363,0))),0)))</f>
        <v/>
      </c>
      <c r="H339" s="30">
        <f>IF($C339="","",IF($D339="",1,$D339))</f>
        <v/>
      </c>
      <c r="I339" s="30">
        <f>IF($C339="","",IF(G339&gt;0,(G339+IFERROR(VLOOKUP(F339,機種マスタ!$Q$4:$R$6,2,FALSE),0))*H339,0))</f>
        <v/>
      </c>
    </row>
    <row r="340">
      <c r="A340" s="56" t="n"/>
      <c r="B340" s="41" t="n"/>
      <c r="C340" s="40" t="n"/>
      <c r="D340" s="41" t="n"/>
      <c r="E340" s="30">
        <f>IF($C340="","",IF($B340="YM",IFERROR(INDEX(機種マスタ!$I$4:$I$203,MATCH($C340,機種マスタ!$J$4:$J$203,0)),"未登録"),IFERROR(INDEX(機種マスタ!$A$4:$A$363,MATCH($C340,機種マスタ!$B$4:$B$363,0)),"未登録")))</f>
        <v/>
      </c>
      <c r="F340" s="30">
        <f>IF($C340="","",IF($B340="YM",IFERROR(INDEX(機種マスタ!$K$4:$K$203,MATCH($C340,機種マスタ!$J$4:$J$203,0)),"-"),IFERROR(INDEX(機種マスタ!$C$4:$C$363,MATCH($C340,機種マスタ!$B$4:$B$363,0)),"-")))</f>
        <v/>
      </c>
      <c r="G340" s="30">
        <f>IF($C340="","",IF($B340="YM",IFERROR(N(INDEX(機種マスタ!$L$4:$L$203,MATCH($C340,機種マスタ!$J$4:$J$203,0))),0),IFERROR(N(INDEX(機種マスタ!$D$4:$D$363,MATCH($C340,機種マスタ!$B$4:$B$363,0))),0)))</f>
        <v/>
      </c>
      <c r="H340" s="30">
        <f>IF($C340="","",IF($D340="",1,$D340))</f>
        <v/>
      </c>
      <c r="I340" s="30">
        <f>IF($C340="","",IF(G340&gt;0,(G340+IFERROR(VLOOKUP(F340,機種マスタ!$Q$4:$R$6,2,FALSE),0))*H340,0))</f>
        <v/>
      </c>
    </row>
    <row r="341">
      <c r="A341" s="56" t="n"/>
      <c r="B341" s="41" t="n"/>
      <c r="C341" s="40" t="n"/>
      <c r="D341" s="41" t="n"/>
      <c r="E341" s="30">
        <f>IF($C341="","",IF($B341="YM",IFERROR(INDEX(機種マスタ!$I$4:$I$203,MATCH($C341,機種マスタ!$J$4:$J$203,0)),"未登録"),IFERROR(INDEX(機種マスタ!$A$4:$A$363,MATCH($C341,機種マスタ!$B$4:$B$363,0)),"未登録")))</f>
        <v/>
      </c>
      <c r="F341" s="30">
        <f>IF($C341="","",IF($B341="YM",IFERROR(INDEX(機種マスタ!$K$4:$K$203,MATCH($C341,機種マスタ!$J$4:$J$203,0)),"-"),IFERROR(INDEX(機種マスタ!$C$4:$C$363,MATCH($C341,機種マスタ!$B$4:$B$363,0)),"-")))</f>
        <v/>
      </c>
      <c r="G341" s="30">
        <f>IF($C341="","",IF($B341="YM",IFERROR(N(INDEX(機種マスタ!$L$4:$L$203,MATCH($C341,機種マスタ!$J$4:$J$203,0))),0),IFERROR(N(INDEX(機種マスタ!$D$4:$D$363,MATCH($C341,機種マスタ!$B$4:$B$363,0))),0)))</f>
        <v/>
      </c>
      <c r="H341" s="30">
        <f>IF($C341="","",IF($D341="",1,$D341))</f>
        <v/>
      </c>
      <c r="I341" s="30">
        <f>IF($C341="","",IF(G341&gt;0,(G341+IFERROR(VLOOKUP(F341,機種マスタ!$Q$4:$R$6,2,FALSE),0))*H341,0))</f>
        <v/>
      </c>
    </row>
    <row r="342">
      <c r="A342" s="56" t="n"/>
      <c r="B342" s="41" t="n"/>
      <c r="C342" s="40" t="n"/>
      <c r="D342" s="41" t="n"/>
      <c r="E342" s="30">
        <f>IF($C342="","",IF($B342="YM",IFERROR(INDEX(機種マスタ!$I$4:$I$203,MATCH($C342,機種マスタ!$J$4:$J$203,0)),"未登録"),IFERROR(INDEX(機種マスタ!$A$4:$A$363,MATCH($C342,機種マスタ!$B$4:$B$363,0)),"未登録")))</f>
        <v/>
      </c>
      <c r="F342" s="30">
        <f>IF($C342="","",IF($B342="YM",IFERROR(INDEX(機種マスタ!$K$4:$K$203,MATCH($C342,機種マスタ!$J$4:$J$203,0)),"-"),IFERROR(INDEX(機種マスタ!$C$4:$C$363,MATCH($C342,機種マスタ!$B$4:$B$363,0)),"-")))</f>
        <v/>
      </c>
      <c r="G342" s="30">
        <f>IF($C342="","",IF($B342="YM",IFERROR(N(INDEX(機種マスタ!$L$4:$L$203,MATCH($C342,機種マスタ!$J$4:$J$203,0))),0),IFERROR(N(INDEX(機種マスタ!$D$4:$D$363,MATCH($C342,機種マスタ!$B$4:$B$363,0))),0)))</f>
        <v/>
      </c>
      <c r="H342" s="30">
        <f>IF($C342="","",IF($D342="",1,$D342))</f>
        <v/>
      </c>
      <c r="I342" s="30">
        <f>IF($C342="","",IF(G342&gt;0,(G342+IFERROR(VLOOKUP(F342,機種マスタ!$Q$4:$R$6,2,FALSE),0))*H342,0))</f>
        <v/>
      </c>
    </row>
    <row r="343">
      <c r="A343" s="56" t="n"/>
      <c r="B343" s="41" t="n"/>
      <c r="C343" s="40" t="n"/>
      <c r="D343" s="41" t="n"/>
      <c r="E343" s="30">
        <f>IF($C343="","",IF($B343="YM",IFERROR(INDEX(機種マスタ!$I$4:$I$203,MATCH($C343,機種マスタ!$J$4:$J$203,0)),"未登録"),IFERROR(INDEX(機種マスタ!$A$4:$A$363,MATCH($C343,機種マスタ!$B$4:$B$363,0)),"未登録")))</f>
        <v/>
      </c>
      <c r="F343" s="30">
        <f>IF($C343="","",IF($B343="YM",IFERROR(INDEX(機種マスタ!$K$4:$K$203,MATCH($C343,機種マスタ!$J$4:$J$203,0)),"-"),IFERROR(INDEX(機種マスタ!$C$4:$C$363,MATCH($C343,機種マスタ!$B$4:$B$363,0)),"-")))</f>
        <v/>
      </c>
      <c r="G343" s="30">
        <f>IF($C343="","",IF($B343="YM",IFERROR(N(INDEX(機種マスタ!$L$4:$L$203,MATCH($C343,機種マスタ!$J$4:$J$203,0))),0),IFERROR(N(INDEX(機種マスタ!$D$4:$D$363,MATCH($C343,機種マスタ!$B$4:$B$363,0))),0)))</f>
        <v/>
      </c>
      <c r="H343" s="30">
        <f>IF($C343="","",IF($D343="",1,$D343))</f>
        <v/>
      </c>
      <c r="I343" s="30">
        <f>IF($C343="","",IF(G343&gt;0,(G343+IFERROR(VLOOKUP(F343,機種マスタ!$Q$4:$R$6,2,FALSE),0))*H343,0))</f>
        <v/>
      </c>
    </row>
    <row r="344">
      <c r="A344" s="56" t="n"/>
      <c r="B344" s="41" t="n"/>
      <c r="C344" s="40" t="n"/>
      <c r="D344" s="41" t="n"/>
      <c r="E344" s="30">
        <f>IF($C344="","",IF($B344="YM",IFERROR(INDEX(機種マスタ!$I$4:$I$203,MATCH($C344,機種マスタ!$J$4:$J$203,0)),"未登録"),IFERROR(INDEX(機種マスタ!$A$4:$A$363,MATCH($C344,機種マスタ!$B$4:$B$363,0)),"未登録")))</f>
        <v/>
      </c>
      <c r="F344" s="30">
        <f>IF($C344="","",IF($B344="YM",IFERROR(INDEX(機種マスタ!$K$4:$K$203,MATCH($C344,機種マスタ!$J$4:$J$203,0)),"-"),IFERROR(INDEX(機種マスタ!$C$4:$C$363,MATCH($C344,機種マスタ!$B$4:$B$363,0)),"-")))</f>
        <v/>
      </c>
      <c r="G344" s="30">
        <f>IF($C344="","",IF($B344="YM",IFERROR(N(INDEX(機種マスタ!$L$4:$L$203,MATCH($C344,機種マスタ!$J$4:$J$203,0))),0),IFERROR(N(INDEX(機種マスタ!$D$4:$D$363,MATCH($C344,機種マスタ!$B$4:$B$363,0))),0)))</f>
        <v/>
      </c>
      <c r="H344" s="30">
        <f>IF($C344="","",IF($D344="",1,$D344))</f>
        <v/>
      </c>
      <c r="I344" s="30">
        <f>IF($C344="","",IF(G344&gt;0,(G344+IFERROR(VLOOKUP(F344,機種マスタ!$Q$4:$R$6,2,FALSE),0))*H344,0))</f>
        <v/>
      </c>
    </row>
    <row r="345">
      <c r="A345" s="56" t="n"/>
      <c r="B345" s="41" t="n"/>
      <c r="C345" s="40" t="n"/>
      <c r="D345" s="41" t="n"/>
      <c r="E345" s="30">
        <f>IF($C345="","",IF($B345="YM",IFERROR(INDEX(機種マスタ!$I$4:$I$203,MATCH($C345,機種マスタ!$J$4:$J$203,0)),"未登録"),IFERROR(INDEX(機種マスタ!$A$4:$A$363,MATCH($C345,機種マスタ!$B$4:$B$363,0)),"未登録")))</f>
        <v/>
      </c>
      <c r="F345" s="30">
        <f>IF($C345="","",IF($B345="YM",IFERROR(INDEX(機種マスタ!$K$4:$K$203,MATCH($C345,機種マスタ!$J$4:$J$203,0)),"-"),IFERROR(INDEX(機種マスタ!$C$4:$C$363,MATCH($C345,機種マスタ!$B$4:$B$363,0)),"-")))</f>
        <v/>
      </c>
      <c r="G345" s="30">
        <f>IF($C345="","",IF($B345="YM",IFERROR(N(INDEX(機種マスタ!$L$4:$L$203,MATCH($C345,機種マスタ!$J$4:$J$203,0))),0),IFERROR(N(INDEX(機種マスタ!$D$4:$D$363,MATCH($C345,機種マスタ!$B$4:$B$363,0))),0)))</f>
        <v/>
      </c>
      <c r="H345" s="30">
        <f>IF($C345="","",IF($D345="",1,$D345))</f>
        <v/>
      </c>
      <c r="I345" s="30">
        <f>IF($C345="","",IF(G345&gt;0,(G345+IFERROR(VLOOKUP(F345,機種マスタ!$Q$4:$R$6,2,FALSE),0))*H345,0))</f>
        <v/>
      </c>
    </row>
    <row r="346">
      <c r="A346" s="56" t="n"/>
      <c r="B346" s="41" t="n"/>
      <c r="C346" s="40" t="n"/>
      <c r="D346" s="41" t="n"/>
      <c r="E346" s="30">
        <f>IF($C346="","",IF($B346="YM",IFERROR(INDEX(機種マスタ!$I$4:$I$203,MATCH($C346,機種マスタ!$J$4:$J$203,0)),"未登録"),IFERROR(INDEX(機種マスタ!$A$4:$A$363,MATCH($C346,機種マスタ!$B$4:$B$363,0)),"未登録")))</f>
        <v/>
      </c>
      <c r="F346" s="30">
        <f>IF($C346="","",IF($B346="YM",IFERROR(INDEX(機種マスタ!$K$4:$K$203,MATCH($C346,機種マスタ!$J$4:$J$203,0)),"-"),IFERROR(INDEX(機種マスタ!$C$4:$C$363,MATCH($C346,機種マスタ!$B$4:$B$363,0)),"-")))</f>
        <v/>
      </c>
      <c r="G346" s="30">
        <f>IF($C346="","",IF($B346="YM",IFERROR(N(INDEX(機種マスタ!$L$4:$L$203,MATCH($C346,機種マスタ!$J$4:$J$203,0))),0),IFERROR(N(INDEX(機種マスタ!$D$4:$D$363,MATCH($C346,機種マスタ!$B$4:$B$363,0))),0)))</f>
        <v/>
      </c>
      <c r="H346" s="30">
        <f>IF($C346="","",IF($D346="",1,$D346))</f>
        <v/>
      </c>
      <c r="I346" s="30">
        <f>IF($C346="","",IF(G346&gt;0,(G346+IFERROR(VLOOKUP(F346,機種マスタ!$Q$4:$R$6,2,FALSE),0))*H346,0))</f>
        <v/>
      </c>
    </row>
    <row r="347">
      <c r="A347" s="56" t="n"/>
      <c r="B347" s="41" t="n"/>
      <c r="C347" s="40" t="n"/>
      <c r="D347" s="41" t="n"/>
      <c r="E347" s="30">
        <f>IF($C347="","",IF($B347="YM",IFERROR(INDEX(機種マスタ!$I$4:$I$203,MATCH($C347,機種マスタ!$J$4:$J$203,0)),"未登録"),IFERROR(INDEX(機種マスタ!$A$4:$A$363,MATCH($C347,機種マスタ!$B$4:$B$363,0)),"未登録")))</f>
        <v/>
      </c>
      <c r="F347" s="30">
        <f>IF($C347="","",IF($B347="YM",IFERROR(INDEX(機種マスタ!$K$4:$K$203,MATCH($C347,機種マスタ!$J$4:$J$203,0)),"-"),IFERROR(INDEX(機種マスタ!$C$4:$C$363,MATCH($C347,機種マスタ!$B$4:$B$363,0)),"-")))</f>
        <v/>
      </c>
      <c r="G347" s="30">
        <f>IF($C347="","",IF($B347="YM",IFERROR(N(INDEX(機種マスタ!$L$4:$L$203,MATCH($C347,機種マスタ!$J$4:$J$203,0))),0),IFERROR(N(INDEX(機種マスタ!$D$4:$D$363,MATCH($C347,機種マスタ!$B$4:$B$363,0))),0)))</f>
        <v/>
      </c>
      <c r="H347" s="30">
        <f>IF($C347="","",IF($D347="",1,$D347))</f>
        <v/>
      </c>
      <c r="I347" s="30">
        <f>IF($C347="","",IF(G347&gt;0,(G347+IFERROR(VLOOKUP(F347,機種マスタ!$Q$4:$R$6,2,FALSE),0))*H347,0))</f>
        <v/>
      </c>
    </row>
    <row r="348">
      <c r="A348" s="56" t="n"/>
      <c r="B348" s="41" t="n"/>
      <c r="C348" s="40" t="n"/>
      <c r="D348" s="41" t="n"/>
      <c r="E348" s="30">
        <f>IF($C348="","",IF($B348="YM",IFERROR(INDEX(機種マスタ!$I$4:$I$203,MATCH($C348,機種マスタ!$J$4:$J$203,0)),"未登録"),IFERROR(INDEX(機種マスタ!$A$4:$A$363,MATCH($C348,機種マスタ!$B$4:$B$363,0)),"未登録")))</f>
        <v/>
      </c>
      <c r="F348" s="30">
        <f>IF($C348="","",IF($B348="YM",IFERROR(INDEX(機種マスタ!$K$4:$K$203,MATCH($C348,機種マスタ!$J$4:$J$203,0)),"-"),IFERROR(INDEX(機種マスタ!$C$4:$C$363,MATCH($C348,機種マスタ!$B$4:$B$363,0)),"-")))</f>
        <v/>
      </c>
      <c r="G348" s="30">
        <f>IF($C348="","",IF($B348="YM",IFERROR(N(INDEX(機種マスタ!$L$4:$L$203,MATCH($C348,機種マスタ!$J$4:$J$203,0))),0),IFERROR(N(INDEX(機種マスタ!$D$4:$D$363,MATCH($C348,機種マスタ!$B$4:$B$363,0))),0)))</f>
        <v/>
      </c>
      <c r="H348" s="30">
        <f>IF($C348="","",IF($D348="",1,$D348))</f>
        <v/>
      </c>
      <c r="I348" s="30">
        <f>IF($C348="","",IF(G348&gt;0,(G348+IFERROR(VLOOKUP(F348,機種マスタ!$Q$4:$R$6,2,FALSE),0))*H348,0))</f>
        <v/>
      </c>
    </row>
    <row r="349">
      <c r="A349" s="56" t="n"/>
      <c r="B349" s="41" t="n"/>
      <c r="C349" s="40" t="n"/>
      <c r="D349" s="41" t="n"/>
      <c r="E349" s="30">
        <f>IF($C349="","",IF($B349="YM",IFERROR(INDEX(機種マスタ!$I$4:$I$203,MATCH($C349,機種マスタ!$J$4:$J$203,0)),"未登録"),IFERROR(INDEX(機種マスタ!$A$4:$A$363,MATCH($C349,機種マスタ!$B$4:$B$363,0)),"未登録")))</f>
        <v/>
      </c>
      <c r="F349" s="30">
        <f>IF($C349="","",IF($B349="YM",IFERROR(INDEX(機種マスタ!$K$4:$K$203,MATCH($C349,機種マスタ!$J$4:$J$203,0)),"-"),IFERROR(INDEX(機種マスタ!$C$4:$C$363,MATCH($C349,機種マスタ!$B$4:$B$363,0)),"-")))</f>
        <v/>
      </c>
      <c r="G349" s="30">
        <f>IF($C349="","",IF($B349="YM",IFERROR(N(INDEX(機種マスタ!$L$4:$L$203,MATCH($C349,機種マスタ!$J$4:$J$203,0))),0),IFERROR(N(INDEX(機種マスタ!$D$4:$D$363,MATCH($C349,機種マスタ!$B$4:$B$363,0))),0)))</f>
        <v/>
      </c>
      <c r="H349" s="30">
        <f>IF($C349="","",IF($D349="",1,$D349))</f>
        <v/>
      </c>
      <c r="I349" s="30">
        <f>IF($C349="","",IF(G349&gt;0,(G349+IFERROR(VLOOKUP(F349,機種マスタ!$Q$4:$R$6,2,FALSE),0))*H349,0))</f>
        <v/>
      </c>
    </row>
    <row r="350">
      <c r="A350" s="56" t="n"/>
      <c r="B350" s="41" t="n"/>
      <c r="C350" s="40" t="n"/>
      <c r="D350" s="41" t="n"/>
      <c r="E350" s="30">
        <f>IF($C350="","",IF($B350="YM",IFERROR(INDEX(機種マスタ!$I$4:$I$203,MATCH($C350,機種マスタ!$J$4:$J$203,0)),"未登録"),IFERROR(INDEX(機種マスタ!$A$4:$A$363,MATCH($C350,機種マスタ!$B$4:$B$363,0)),"未登録")))</f>
        <v/>
      </c>
      <c r="F350" s="30">
        <f>IF($C350="","",IF($B350="YM",IFERROR(INDEX(機種マスタ!$K$4:$K$203,MATCH($C350,機種マスタ!$J$4:$J$203,0)),"-"),IFERROR(INDEX(機種マスタ!$C$4:$C$363,MATCH($C350,機種マスタ!$B$4:$B$363,0)),"-")))</f>
        <v/>
      </c>
      <c r="G350" s="30">
        <f>IF($C350="","",IF($B350="YM",IFERROR(N(INDEX(機種マスタ!$L$4:$L$203,MATCH($C350,機種マスタ!$J$4:$J$203,0))),0),IFERROR(N(INDEX(機種マスタ!$D$4:$D$363,MATCH($C350,機種マスタ!$B$4:$B$363,0))),0)))</f>
        <v/>
      </c>
      <c r="H350" s="30">
        <f>IF($C350="","",IF($D350="",1,$D350))</f>
        <v/>
      </c>
      <c r="I350" s="30">
        <f>IF($C350="","",IF(G350&gt;0,(G350+IFERROR(VLOOKUP(F350,機種マスタ!$Q$4:$R$6,2,FALSE),0))*H350,0))</f>
        <v/>
      </c>
    </row>
    <row r="351">
      <c r="A351" s="56" t="n"/>
      <c r="B351" s="41" t="n"/>
      <c r="C351" s="40" t="n"/>
      <c r="D351" s="41" t="n"/>
      <c r="E351" s="30">
        <f>IF($C351="","",IF($B351="YM",IFERROR(INDEX(機種マスタ!$I$4:$I$203,MATCH($C351,機種マスタ!$J$4:$J$203,0)),"未登録"),IFERROR(INDEX(機種マスタ!$A$4:$A$363,MATCH($C351,機種マスタ!$B$4:$B$363,0)),"未登録")))</f>
        <v/>
      </c>
      <c r="F351" s="30">
        <f>IF($C351="","",IF($B351="YM",IFERROR(INDEX(機種マスタ!$K$4:$K$203,MATCH($C351,機種マスタ!$J$4:$J$203,0)),"-"),IFERROR(INDEX(機種マスタ!$C$4:$C$363,MATCH($C351,機種マスタ!$B$4:$B$363,0)),"-")))</f>
        <v/>
      </c>
      <c r="G351" s="30">
        <f>IF($C351="","",IF($B351="YM",IFERROR(N(INDEX(機種マスタ!$L$4:$L$203,MATCH($C351,機種マスタ!$J$4:$J$203,0))),0),IFERROR(N(INDEX(機種マスタ!$D$4:$D$363,MATCH($C351,機種マスタ!$B$4:$B$363,0))),0)))</f>
        <v/>
      </c>
      <c r="H351" s="30">
        <f>IF($C351="","",IF($D351="",1,$D351))</f>
        <v/>
      </c>
      <c r="I351" s="30">
        <f>IF($C351="","",IF(G351&gt;0,(G351+IFERROR(VLOOKUP(F351,機種マスタ!$Q$4:$R$6,2,FALSE),0))*H351,0))</f>
        <v/>
      </c>
    </row>
    <row r="352">
      <c r="A352" s="56" t="n"/>
      <c r="B352" s="41" t="n"/>
      <c r="C352" s="40" t="n"/>
      <c r="D352" s="41" t="n"/>
      <c r="E352" s="30">
        <f>IF($C352="","",IF($B352="YM",IFERROR(INDEX(機種マスタ!$I$4:$I$203,MATCH($C352,機種マスタ!$J$4:$J$203,0)),"未登録"),IFERROR(INDEX(機種マスタ!$A$4:$A$363,MATCH($C352,機種マスタ!$B$4:$B$363,0)),"未登録")))</f>
        <v/>
      </c>
      <c r="F352" s="30">
        <f>IF($C352="","",IF($B352="YM",IFERROR(INDEX(機種マスタ!$K$4:$K$203,MATCH($C352,機種マスタ!$J$4:$J$203,0)),"-"),IFERROR(INDEX(機種マスタ!$C$4:$C$363,MATCH($C352,機種マスタ!$B$4:$B$363,0)),"-")))</f>
        <v/>
      </c>
      <c r="G352" s="30">
        <f>IF($C352="","",IF($B352="YM",IFERROR(N(INDEX(機種マスタ!$L$4:$L$203,MATCH($C352,機種マスタ!$J$4:$J$203,0))),0),IFERROR(N(INDEX(機種マスタ!$D$4:$D$363,MATCH($C352,機種マスタ!$B$4:$B$363,0))),0)))</f>
        <v/>
      </c>
      <c r="H352" s="30">
        <f>IF($C352="","",IF($D352="",1,$D352))</f>
        <v/>
      </c>
      <c r="I352" s="30">
        <f>IF($C352="","",IF(G352&gt;0,(G352+IFERROR(VLOOKUP(F352,機種マスタ!$Q$4:$R$6,2,FALSE),0))*H352,0))</f>
        <v/>
      </c>
    </row>
    <row r="353">
      <c r="A353" s="56" t="n"/>
      <c r="B353" s="41" t="n"/>
      <c r="C353" s="40" t="n"/>
      <c r="D353" s="41" t="n"/>
      <c r="E353" s="30">
        <f>IF($C353="","",IF($B353="YM",IFERROR(INDEX(機種マスタ!$I$4:$I$203,MATCH($C353,機種マスタ!$J$4:$J$203,0)),"未登録"),IFERROR(INDEX(機種マスタ!$A$4:$A$363,MATCH($C353,機種マスタ!$B$4:$B$363,0)),"未登録")))</f>
        <v/>
      </c>
      <c r="F353" s="30">
        <f>IF($C353="","",IF($B353="YM",IFERROR(INDEX(機種マスタ!$K$4:$K$203,MATCH($C353,機種マスタ!$J$4:$J$203,0)),"-"),IFERROR(INDEX(機種マスタ!$C$4:$C$363,MATCH($C353,機種マスタ!$B$4:$B$363,0)),"-")))</f>
        <v/>
      </c>
      <c r="G353" s="30">
        <f>IF($C353="","",IF($B353="YM",IFERROR(N(INDEX(機種マスタ!$L$4:$L$203,MATCH($C353,機種マスタ!$J$4:$J$203,0))),0),IFERROR(N(INDEX(機種マスタ!$D$4:$D$363,MATCH($C353,機種マスタ!$B$4:$B$363,0))),0)))</f>
        <v/>
      </c>
      <c r="H353" s="30">
        <f>IF($C353="","",IF($D353="",1,$D353))</f>
        <v/>
      </c>
      <c r="I353" s="30">
        <f>IF($C353="","",IF(G353&gt;0,(G353+IFERROR(VLOOKUP(F353,機種マスタ!$Q$4:$R$6,2,FALSE),0))*H353,0))</f>
        <v/>
      </c>
    </row>
    <row r="354">
      <c r="A354" s="56" t="n"/>
      <c r="B354" s="41" t="n"/>
      <c r="C354" s="40" t="n"/>
      <c r="D354" s="41" t="n"/>
      <c r="E354" s="30">
        <f>IF($C354="","",IF($B354="YM",IFERROR(INDEX(機種マスタ!$I$4:$I$203,MATCH($C354,機種マスタ!$J$4:$J$203,0)),"未登録"),IFERROR(INDEX(機種マスタ!$A$4:$A$363,MATCH($C354,機種マスタ!$B$4:$B$363,0)),"未登録")))</f>
        <v/>
      </c>
      <c r="F354" s="30">
        <f>IF($C354="","",IF($B354="YM",IFERROR(INDEX(機種マスタ!$K$4:$K$203,MATCH($C354,機種マスタ!$J$4:$J$203,0)),"-"),IFERROR(INDEX(機種マスタ!$C$4:$C$363,MATCH($C354,機種マスタ!$B$4:$B$363,0)),"-")))</f>
        <v/>
      </c>
      <c r="G354" s="30">
        <f>IF($C354="","",IF($B354="YM",IFERROR(N(INDEX(機種マスタ!$L$4:$L$203,MATCH($C354,機種マスタ!$J$4:$J$203,0))),0),IFERROR(N(INDEX(機種マスタ!$D$4:$D$363,MATCH($C354,機種マスタ!$B$4:$B$363,0))),0)))</f>
        <v/>
      </c>
      <c r="H354" s="30">
        <f>IF($C354="","",IF($D354="",1,$D354))</f>
        <v/>
      </c>
      <c r="I354" s="30">
        <f>IF($C354="","",IF(G354&gt;0,(G354+IFERROR(VLOOKUP(F354,機種マスタ!$Q$4:$R$6,2,FALSE),0))*H354,0))</f>
        <v/>
      </c>
    </row>
    <row r="355">
      <c r="A355" s="56" t="n"/>
      <c r="B355" s="41" t="n"/>
      <c r="C355" s="40" t="n"/>
      <c r="D355" s="41" t="n"/>
      <c r="E355" s="30">
        <f>IF($C355="","",IF($B355="YM",IFERROR(INDEX(機種マスタ!$I$4:$I$203,MATCH($C355,機種マスタ!$J$4:$J$203,0)),"未登録"),IFERROR(INDEX(機種マスタ!$A$4:$A$363,MATCH($C355,機種マスタ!$B$4:$B$363,0)),"未登録")))</f>
        <v/>
      </c>
      <c r="F355" s="30">
        <f>IF($C355="","",IF($B355="YM",IFERROR(INDEX(機種マスタ!$K$4:$K$203,MATCH($C355,機種マスタ!$J$4:$J$203,0)),"-"),IFERROR(INDEX(機種マスタ!$C$4:$C$363,MATCH($C355,機種マスタ!$B$4:$B$363,0)),"-")))</f>
        <v/>
      </c>
      <c r="G355" s="30">
        <f>IF($C355="","",IF($B355="YM",IFERROR(N(INDEX(機種マスタ!$L$4:$L$203,MATCH($C355,機種マスタ!$J$4:$J$203,0))),0),IFERROR(N(INDEX(機種マスタ!$D$4:$D$363,MATCH($C355,機種マスタ!$B$4:$B$363,0))),0)))</f>
        <v/>
      </c>
      <c r="H355" s="30">
        <f>IF($C355="","",IF($D355="",1,$D355))</f>
        <v/>
      </c>
      <c r="I355" s="30">
        <f>IF($C355="","",IF(G355&gt;0,(G355+IFERROR(VLOOKUP(F355,機種マスタ!$Q$4:$R$6,2,FALSE),0))*H355,0))</f>
        <v/>
      </c>
    </row>
    <row r="356">
      <c r="A356" s="56" t="n"/>
      <c r="B356" s="41" t="n"/>
      <c r="C356" s="40" t="n"/>
      <c r="D356" s="41" t="n"/>
      <c r="E356" s="30">
        <f>IF($C356="","",IF($B356="YM",IFERROR(INDEX(機種マスタ!$I$4:$I$203,MATCH($C356,機種マスタ!$J$4:$J$203,0)),"未登録"),IFERROR(INDEX(機種マスタ!$A$4:$A$363,MATCH($C356,機種マスタ!$B$4:$B$363,0)),"未登録")))</f>
        <v/>
      </c>
      <c r="F356" s="30">
        <f>IF($C356="","",IF($B356="YM",IFERROR(INDEX(機種マスタ!$K$4:$K$203,MATCH($C356,機種マスタ!$J$4:$J$203,0)),"-"),IFERROR(INDEX(機種マスタ!$C$4:$C$363,MATCH($C356,機種マスタ!$B$4:$B$363,0)),"-")))</f>
        <v/>
      </c>
      <c r="G356" s="30">
        <f>IF($C356="","",IF($B356="YM",IFERROR(N(INDEX(機種マスタ!$L$4:$L$203,MATCH($C356,機種マスタ!$J$4:$J$203,0))),0),IFERROR(N(INDEX(機種マスタ!$D$4:$D$363,MATCH($C356,機種マスタ!$B$4:$B$363,0))),0)))</f>
        <v/>
      </c>
      <c r="H356" s="30">
        <f>IF($C356="","",IF($D356="",1,$D356))</f>
        <v/>
      </c>
      <c r="I356" s="30">
        <f>IF($C356="","",IF(G356&gt;0,(G356+IFERROR(VLOOKUP(F356,機種マスタ!$Q$4:$R$6,2,FALSE),0))*H356,0))</f>
        <v/>
      </c>
    </row>
    <row r="357">
      <c r="A357" s="56" t="n"/>
      <c r="B357" s="41" t="n"/>
      <c r="C357" s="40" t="n"/>
      <c r="D357" s="41" t="n"/>
      <c r="E357" s="30">
        <f>IF($C357="","",IF($B357="YM",IFERROR(INDEX(機種マスタ!$I$4:$I$203,MATCH($C357,機種マスタ!$J$4:$J$203,0)),"未登録"),IFERROR(INDEX(機種マスタ!$A$4:$A$363,MATCH($C357,機種マスタ!$B$4:$B$363,0)),"未登録")))</f>
        <v/>
      </c>
      <c r="F357" s="30">
        <f>IF($C357="","",IF($B357="YM",IFERROR(INDEX(機種マスタ!$K$4:$K$203,MATCH($C357,機種マスタ!$J$4:$J$203,0)),"-"),IFERROR(INDEX(機種マスタ!$C$4:$C$363,MATCH($C357,機種マスタ!$B$4:$B$363,0)),"-")))</f>
        <v/>
      </c>
      <c r="G357" s="30">
        <f>IF($C357="","",IF($B357="YM",IFERROR(N(INDEX(機種マスタ!$L$4:$L$203,MATCH($C357,機種マスタ!$J$4:$J$203,0))),0),IFERROR(N(INDEX(機種マスタ!$D$4:$D$363,MATCH($C357,機種マスタ!$B$4:$B$363,0))),0)))</f>
        <v/>
      </c>
      <c r="H357" s="30">
        <f>IF($C357="","",IF($D357="",1,$D357))</f>
        <v/>
      </c>
      <c r="I357" s="30">
        <f>IF($C357="","",IF(G357&gt;0,(G357+IFERROR(VLOOKUP(F357,機種マスタ!$Q$4:$R$6,2,FALSE),0))*H357,0))</f>
        <v/>
      </c>
    </row>
    <row r="358">
      <c r="A358" s="56" t="n"/>
      <c r="B358" s="41" t="n"/>
      <c r="C358" s="40" t="n"/>
      <c r="D358" s="41" t="n"/>
      <c r="E358" s="30">
        <f>IF($C358="","",IF($B358="YM",IFERROR(INDEX(機種マスタ!$I$4:$I$203,MATCH($C358,機種マスタ!$J$4:$J$203,0)),"未登録"),IFERROR(INDEX(機種マスタ!$A$4:$A$363,MATCH($C358,機種マスタ!$B$4:$B$363,0)),"未登録")))</f>
        <v/>
      </c>
      <c r="F358" s="30">
        <f>IF($C358="","",IF($B358="YM",IFERROR(INDEX(機種マスタ!$K$4:$K$203,MATCH($C358,機種マスタ!$J$4:$J$203,0)),"-"),IFERROR(INDEX(機種マスタ!$C$4:$C$363,MATCH($C358,機種マスタ!$B$4:$B$363,0)),"-")))</f>
        <v/>
      </c>
      <c r="G358" s="30">
        <f>IF($C358="","",IF($B358="YM",IFERROR(N(INDEX(機種マスタ!$L$4:$L$203,MATCH($C358,機種マスタ!$J$4:$J$203,0))),0),IFERROR(N(INDEX(機種マスタ!$D$4:$D$363,MATCH($C358,機種マスタ!$B$4:$B$363,0))),0)))</f>
        <v/>
      </c>
      <c r="H358" s="30">
        <f>IF($C358="","",IF($D358="",1,$D358))</f>
        <v/>
      </c>
      <c r="I358" s="30">
        <f>IF($C358="","",IF(G358&gt;0,(G358+IFERROR(VLOOKUP(F358,機種マスタ!$Q$4:$R$6,2,FALSE),0))*H358,0))</f>
        <v/>
      </c>
    </row>
    <row r="359">
      <c r="A359" s="56" t="n"/>
      <c r="B359" s="41" t="n"/>
      <c r="C359" s="40" t="n"/>
      <c r="D359" s="41" t="n"/>
      <c r="E359" s="30">
        <f>IF($C359="","",IF($B359="YM",IFERROR(INDEX(機種マスタ!$I$4:$I$203,MATCH($C359,機種マスタ!$J$4:$J$203,0)),"未登録"),IFERROR(INDEX(機種マスタ!$A$4:$A$363,MATCH($C359,機種マスタ!$B$4:$B$363,0)),"未登録")))</f>
        <v/>
      </c>
      <c r="F359" s="30">
        <f>IF($C359="","",IF($B359="YM",IFERROR(INDEX(機種マスタ!$K$4:$K$203,MATCH($C359,機種マスタ!$J$4:$J$203,0)),"-"),IFERROR(INDEX(機種マスタ!$C$4:$C$363,MATCH($C359,機種マスタ!$B$4:$B$363,0)),"-")))</f>
        <v/>
      </c>
      <c r="G359" s="30">
        <f>IF($C359="","",IF($B359="YM",IFERROR(N(INDEX(機種マスタ!$L$4:$L$203,MATCH($C359,機種マスタ!$J$4:$J$203,0))),0),IFERROR(N(INDEX(機種マスタ!$D$4:$D$363,MATCH($C359,機種マスタ!$B$4:$B$363,0))),0)))</f>
        <v/>
      </c>
      <c r="H359" s="30">
        <f>IF($C359="","",IF($D359="",1,$D359))</f>
        <v/>
      </c>
      <c r="I359" s="30">
        <f>IF($C359="","",IF(G359&gt;0,(G359+IFERROR(VLOOKUP(F359,機種マスタ!$Q$4:$R$6,2,FALSE),0))*H359,0))</f>
        <v/>
      </c>
    </row>
    <row r="360">
      <c r="A360" s="56" t="n"/>
      <c r="B360" s="41" t="n"/>
      <c r="C360" s="40" t="n"/>
      <c r="D360" s="41" t="n"/>
      <c r="E360" s="30">
        <f>IF($C360="","",IF($B360="YM",IFERROR(INDEX(機種マスタ!$I$4:$I$203,MATCH($C360,機種マスタ!$J$4:$J$203,0)),"未登録"),IFERROR(INDEX(機種マスタ!$A$4:$A$363,MATCH($C360,機種マスタ!$B$4:$B$363,0)),"未登録")))</f>
        <v/>
      </c>
      <c r="F360" s="30">
        <f>IF($C360="","",IF($B360="YM",IFERROR(INDEX(機種マスタ!$K$4:$K$203,MATCH($C360,機種マスタ!$J$4:$J$203,0)),"-"),IFERROR(INDEX(機種マスタ!$C$4:$C$363,MATCH($C360,機種マスタ!$B$4:$B$363,0)),"-")))</f>
        <v/>
      </c>
      <c r="G360" s="30">
        <f>IF($C360="","",IF($B360="YM",IFERROR(N(INDEX(機種マスタ!$L$4:$L$203,MATCH($C360,機種マスタ!$J$4:$J$203,0))),0),IFERROR(N(INDEX(機種マスタ!$D$4:$D$363,MATCH($C360,機種マスタ!$B$4:$B$363,0))),0)))</f>
        <v/>
      </c>
      <c r="H360" s="30">
        <f>IF($C360="","",IF($D360="",1,$D360))</f>
        <v/>
      </c>
      <c r="I360" s="30">
        <f>IF($C360="","",IF(G360&gt;0,(G360+IFERROR(VLOOKUP(F360,機種マスタ!$Q$4:$R$6,2,FALSE),0))*H360,0))</f>
        <v/>
      </c>
    </row>
    <row r="361">
      <c r="A361" s="56" t="n"/>
      <c r="B361" s="41" t="n"/>
      <c r="C361" s="40" t="n"/>
      <c r="D361" s="41" t="n"/>
      <c r="E361" s="30">
        <f>IF($C361="","",IF($B361="YM",IFERROR(INDEX(機種マスタ!$I$4:$I$203,MATCH($C361,機種マスタ!$J$4:$J$203,0)),"未登録"),IFERROR(INDEX(機種マスタ!$A$4:$A$363,MATCH($C361,機種マスタ!$B$4:$B$363,0)),"未登録")))</f>
        <v/>
      </c>
      <c r="F361" s="30">
        <f>IF($C361="","",IF($B361="YM",IFERROR(INDEX(機種マスタ!$K$4:$K$203,MATCH($C361,機種マスタ!$J$4:$J$203,0)),"-"),IFERROR(INDEX(機種マスタ!$C$4:$C$363,MATCH($C361,機種マスタ!$B$4:$B$363,0)),"-")))</f>
        <v/>
      </c>
      <c r="G361" s="30">
        <f>IF($C361="","",IF($B361="YM",IFERROR(N(INDEX(機種マスタ!$L$4:$L$203,MATCH($C361,機種マスタ!$J$4:$J$203,0))),0),IFERROR(N(INDEX(機種マスタ!$D$4:$D$363,MATCH($C361,機種マスタ!$B$4:$B$363,0))),0)))</f>
        <v/>
      </c>
      <c r="H361" s="30">
        <f>IF($C361="","",IF($D361="",1,$D361))</f>
        <v/>
      </c>
      <c r="I361" s="30">
        <f>IF($C361="","",IF(G361&gt;0,(G361+IFERROR(VLOOKUP(F361,機種マスタ!$Q$4:$R$6,2,FALSE),0))*H361,0))</f>
        <v/>
      </c>
    </row>
    <row r="362">
      <c r="A362" s="56" t="n"/>
      <c r="B362" s="41" t="n"/>
      <c r="C362" s="40" t="n"/>
      <c r="D362" s="41" t="n"/>
      <c r="E362" s="30">
        <f>IF($C362="","",IF($B362="YM",IFERROR(INDEX(機種マスタ!$I$4:$I$203,MATCH($C362,機種マスタ!$J$4:$J$203,0)),"未登録"),IFERROR(INDEX(機種マスタ!$A$4:$A$363,MATCH($C362,機種マスタ!$B$4:$B$363,0)),"未登録")))</f>
        <v/>
      </c>
      <c r="F362" s="30">
        <f>IF($C362="","",IF($B362="YM",IFERROR(INDEX(機種マスタ!$K$4:$K$203,MATCH($C362,機種マスタ!$J$4:$J$203,0)),"-"),IFERROR(INDEX(機種マスタ!$C$4:$C$363,MATCH($C362,機種マスタ!$B$4:$B$363,0)),"-")))</f>
        <v/>
      </c>
      <c r="G362" s="30">
        <f>IF($C362="","",IF($B362="YM",IFERROR(N(INDEX(機種マスタ!$L$4:$L$203,MATCH($C362,機種マスタ!$J$4:$J$203,0))),0),IFERROR(N(INDEX(機種マスタ!$D$4:$D$363,MATCH($C362,機種マスタ!$B$4:$B$363,0))),0)))</f>
        <v/>
      </c>
      <c r="H362" s="30">
        <f>IF($C362="","",IF($D362="",1,$D362))</f>
        <v/>
      </c>
      <c r="I362" s="30">
        <f>IF($C362="","",IF(G362&gt;0,(G362+IFERROR(VLOOKUP(F362,機種マスタ!$Q$4:$R$6,2,FALSE),0))*H362,0))</f>
        <v/>
      </c>
    </row>
    <row r="363">
      <c r="A363" s="56" t="n"/>
      <c r="B363" s="41" t="n"/>
      <c r="C363" s="40" t="n"/>
      <c r="D363" s="41" t="n"/>
      <c r="E363" s="30">
        <f>IF($C363="","",IF($B363="YM",IFERROR(INDEX(機種マスタ!$I$4:$I$203,MATCH($C363,機種マスタ!$J$4:$J$203,0)),"未登録"),IFERROR(INDEX(機種マスタ!$A$4:$A$363,MATCH($C363,機種マスタ!$B$4:$B$363,0)),"未登録")))</f>
        <v/>
      </c>
      <c r="F363" s="30">
        <f>IF($C363="","",IF($B363="YM",IFERROR(INDEX(機種マスタ!$K$4:$K$203,MATCH($C363,機種マスタ!$J$4:$J$203,0)),"-"),IFERROR(INDEX(機種マスタ!$C$4:$C$363,MATCH($C363,機種マスタ!$B$4:$B$363,0)),"-")))</f>
        <v/>
      </c>
      <c r="G363" s="30">
        <f>IF($C363="","",IF($B363="YM",IFERROR(N(INDEX(機種マスタ!$L$4:$L$203,MATCH($C363,機種マスタ!$J$4:$J$203,0))),0),IFERROR(N(INDEX(機種マスタ!$D$4:$D$363,MATCH($C363,機種マスタ!$B$4:$B$363,0))),0)))</f>
        <v/>
      </c>
      <c r="H363" s="30">
        <f>IF($C363="","",IF($D363="",1,$D363))</f>
        <v/>
      </c>
      <c r="I363" s="30">
        <f>IF($C363="","",IF(G363&gt;0,(G363+IFERROR(VLOOKUP(F363,機種マスタ!$Q$4:$R$6,2,FALSE),0))*H363,0))</f>
        <v/>
      </c>
    </row>
    <row r="364">
      <c r="A364" s="56" t="n"/>
      <c r="B364" s="41" t="n"/>
      <c r="C364" s="40" t="n"/>
      <c r="D364" s="41" t="n"/>
      <c r="E364" s="30">
        <f>IF($C364="","",IF($B364="YM",IFERROR(INDEX(機種マスタ!$I$4:$I$203,MATCH($C364,機種マスタ!$J$4:$J$203,0)),"未登録"),IFERROR(INDEX(機種マスタ!$A$4:$A$363,MATCH($C364,機種マスタ!$B$4:$B$363,0)),"未登録")))</f>
        <v/>
      </c>
      <c r="F364" s="30">
        <f>IF($C364="","",IF($B364="YM",IFERROR(INDEX(機種マスタ!$K$4:$K$203,MATCH($C364,機種マスタ!$J$4:$J$203,0)),"-"),IFERROR(INDEX(機種マスタ!$C$4:$C$363,MATCH($C364,機種マスタ!$B$4:$B$363,0)),"-")))</f>
        <v/>
      </c>
      <c r="G364" s="30">
        <f>IF($C364="","",IF($B364="YM",IFERROR(N(INDEX(機種マスタ!$L$4:$L$203,MATCH($C364,機種マスタ!$J$4:$J$203,0))),0),IFERROR(N(INDEX(機種マスタ!$D$4:$D$363,MATCH($C364,機種マスタ!$B$4:$B$363,0))),0)))</f>
        <v/>
      </c>
      <c r="H364" s="30">
        <f>IF($C364="","",IF($D364="",1,$D364))</f>
        <v/>
      </c>
      <c r="I364" s="30">
        <f>IF($C364="","",IF(G364&gt;0,(G364+IFERROR(VLOOKUP(F364,機種マスタ!$Q$4:$R$6,2,FALSE),0))*H364,0))</f>
        <v/>
      </c>
    </row>
    <row r="365">
      <c r="A365" s="56" t="n"/>
      <c r="B365" s="41" t="n"/>
      <c r="C365" s="40" t="n"/>
      <c r="D365" s="41" t="n"/>
      <c r="E365" s="30">
        <f>IF($C365="","",IF($B365="YM",IFERROR(INDEX(機種マスタ!$I$4:$I$203,MATCH($C365,機種マスタ!$J$4:$J$203,0)),"未登録"),IFERROR(INDEX(機種マスタ!$A$4:$A$363,MATCH($C365,機種マスタ!$B$4:$B$363,0)),"未登録")))</f>
        <v/>
      </c>
      <c r="F365" s="30">
        <f>IF($C365="","",IF($B365="YM",IFERROR(INDEX(機種マスタ!$K$4:$K$203,MATCH($C365,機種マスタ!$J$4:$J$203,0)),"-"),IFERROR(INDEX(機種マスタ!$C$4:$C$363,MATCH($C365,機種マスタ!$B$4:$B$363,0)),"-")))</f>
        <v/>
      </c>
      <c r="G365" s="30">
        <f>IF($C365="","",IF($B365="YM",IFERROR(N(INDEX(機種マスタ!$L$4:$L$203,MATCH($C365,機種マスタ!$J$4:$J$203,0))),0),IFERROR(N(INDEX(機種マスタ!$D$4:$D$363,MATCH($C365,機種マスタ!$B$4:$B$363,0))),0)))</f>
        <v/>
      </c>
      <c r="H365" s="30">
        <f>IF($C365="","",IF($D365="",1,$D365))</f>
        <v/>
      </c>
      <c r="I365" s="30">
        <f>IF($C365="","",IF(G365&gt;0,(G365+IFERROR(VLOOKUP(F365,機種マスタ!$Q$4:$R$6,2,FALSE),0))*H365,0))</f>
        <v/>
      </c>
    </row>
    <row r="366">
      <c r="A366" s="56" t="n"/>
      <c r="B366" s="41" t="n"/>
      <c r="C366" s="40" t="n"/>
      <c r="D366" s="41" t="n"/>
      <c r="E366" s="30">
        <f>IF($C366="","",IF($B366="YM",IFERROR(INDEX(機種マスタ!$I$4:$I$203,MATCH($C366,機種マスタ!$J$4:$J$203,0)),"未登録"),IFERROR(INDEX(機種マスタ!$A$4:$A$363,MATCH($C366,機種マスタ!$B$4:$B$363,0)),"未登録")))</f>
        <v/>
      </c>
      <c r="F366" s="30">
        <f>IF($C366="","",IF($B366="YM",IFERROR(INDEX(機種マスタ!$K$4:$K$203,MATCH($C366,機種マスタ!$J$4:$J$203,0)),"-"),IFERROR(INDEX(機種マスタ!$C$4:$C$363,MATCH($C366,機種マスタ!$B$4:$B$363,0)),"-")))</f>
        <v/>
      </c>
      <c r="G366" s="30">
        <f>IF($C366="","",IF($B366="YM",IFERROR(N(INDEX(機種マスタ!$L$4:$L$203,MATCH($C366,機種マスタ!$J$4:$J$203,0))),0),IFERROR(N(INDEX(機種マスタ!$D$4:$D$363,MATCH($C366,機種マスタ!$B$4:$B$363,0))),0)))</f>
        <v/>
      </c>
      <c r="H366" s="30">
        <f>IF($C366="","",IF($D366="",1,$D366))</f>
        <v/>
      </c>
      <c r="I366" s="30">
        <f>IF($C366="","",IF(G366&gt;0,(G366+IFERROR(VLOOKUP(F366,機種マスタ!$Q$4:$R$6,2,FALSE),0))*H366,0))</f>
        <v/>
      </c>
    </row>
    <row r="367">
      <c r="A367" s="56" t="n"/>
      <c r="B367" s="41" t="n"/>
      <c r="C367" s="40" t="n"/>
      <c r="D367" s="41" t="n"/>
      <c r="E367" s="30">
        <f>IF($C367="","",IF($B367="YM",IFERROR(INDEX(機種マスタ!$I$4:$I$203,MATCH($C367,機種マスタ!$J$4:$J$203,0)),"未登録"),IFERROR(INDEX(機種マスタ!$A$4:$A$363,MATCH($C367,機種マスタ!$B$4:$B$363,0)),"未登録")))</f>
        <v/>
      </c>
      <c r="F367" s="30">
        <f>IF($C367="","",IF($B367="YM",IFERROR(INDEX(機種マスタ!$K$4:$K$203,MATCH($C367,機種マスタ!$J$4:$J$203,0)),"-"),IFERROR(INDEX(機種マスタ!$C$4:$C$363,MATCH($C367,機種マスタ!$B$4:$B$363,0)),"-")))</f>
        <v/>
      </c>
      <c r="G367" s="30">
        <f>IF($C367="","",IF($B367="YM",IFERROR(N(INDEX(機種マスタ!$L$4:$L$203,MATCH($C367,機種マスタ!$J$4:$J$203,0))),0),IFERROR(N(INDEX(機種マスタ!$D$4:$D$363,MATCH($C367,機種マスタ!$B$4:$B$363,0))),0)))</f>
        <v/>
      </c>
      <c r="H367" s="30">
        <f>IF($C367="","",IF($D367="",1,$D367))</f>
        <v/>
      </c>
      <c r="I367" s="30">
        <f>IF($C367="","",IF(G367&gt;0,(G367+IFERROR(VLOOKUP(F367,機種マスタ!$Q$4:$R$6,2,FALSE),0))*H367,0))</f>
        <v/>
      </c>
    </row>
    <row r="368">
      <c r="A368" s="56" t="n"/>
      <c r="B368" s="41" t="n"/>
      <c r="C368" s="40" t="n"/>
      <c r="D368" s="41" t="n"/>
      <c r="E368" s="30">
        <f>IF($C368="","",IF($B368="YM",IFERROR(INDEX(機種マスタ!$I$4:$I$203,MATCH($C368,機種マスタ!$J$4:$J$203,0)),"未登録"),IFERROR(INDEX(機種マスタ!$A$4:$A$363,MATCH($C368,機種マスタ!$B$4:$B$363,0)),"未登録")))</f>
        <v/>
      </c>
      <c r="F368" s="30">
        <f>IF($C368="","",IF($B368="YM",IFERROR(INDEX(機種マスタ!$K$4:$K$203,MATCH($C368,機種マスタ!$J$4:$J$203,0)),"-"),IFERROR(INDEX(機種マスタ!$C$4:$C$363,MATCH($C368,機種マスタ!$B$4:$B$363,0)),"-")))</f>
        <v/>
      </c>
      <c r="G368" s="30">
        <f>IF($C368="","",IF($B368="YM",IFERROR(N(INDEX(機種マスタ!$L$4:$L$203,MATCH($C368,機種マスタ!$J$4:$J$203,0))),0),IFERROR(N(INDEX(機種マスタ!$D$4:$D$363,MATCH($C368,機種マスタ!$B$4:$B$363,0))),0)))</f>
        <v/>
      </c>
      <c r="H368" s="30">
        <f>IF($C368="","",IF($D368="",1,$D368))</f>
        <v/>
      </c>
      <c r="I368" s="30">
        <f>IF($C368="","",IF(G368&gt;0,(G368+IFERROR(VLOOKUP(F368,機種マスタ!$Q$4:$R$6,2,FALSE),0))*H368,0))</f>
        <v/>
      </c>
    </row>
    <row r="369">
      <c r="A369" s="56" t="n"/>
      <c r="B369" s="41" t="n"/>
      <c r="C369" s="40" t="n"/>
      <c r="D369" s="41" t="n"/>
      <c r="E369" s="30">
        <f>IF($C369="","",IF($B369="YM",IFERROR(INDEX(機種マスタ!$I$4:$I$203,MATCH($C369,機種マスタ!$J$4:$J$203,0)),"未登録"),IFERROR(INDEX(機種マスタ!$A$4:$A$363,MATCH($C369,機種マスタ!$B$4:$B$363,0)),"未登録")))</f>
        <v/>
      </c>
      <c r="F369" s="30">
        <f>IF($C369="","",IF($B369="YM",IFERROR(INDEX(機種マスタ!$K$4:$K$203,MATCH($C369,機種マスタ!$J$4:$J$203,0)),"-"),IFERROR(INDEX(機種マスタ!$C$4:$C$363,MATCH($C369,機種マスタ!$B$4:$B$363,0)),"-")))</f>
        <v/>
      </c>
      <c r="G369" s="30">
        <f>IF($C369="","",IF($B369="YM",IFERROR(N(INDEX(機種マスタ!$L$4:$L$203,MATCH($C369,機種マスタ!$J$4:$J$203,0))),0),IFERROR(N(INDEX(機種マスタ!$D$4:$D$363,MATCH($C369,機種マスタ!$B$4:$B$363,0))),0)))</f>
        <v/>
      </c>
      <c r="H369" s="30">
        <f>IF($C369="","",IF($D369="",1,$D369))</f>
        <v/>
      </c>
      <c r="I369" s="30">
        <f>IF($C369="","",IF(G369&gt;0,(G369+IFERROR(VLOOKUP(F369,機種マスタ!$Q$4:$R$6,2,FALSE),0))*H369,0))</f>
        <v/>
      </c>
    </row>
    <row r="370">
      <c r="A370" s="56" t="n"/>
      <c r="B370" s="41" t="n"/>
      <c r="C370" s="40" t="n"/>
      <c r="D370" s="41" t="n"/>
      <c r="E370" s="30">
        <f>IF($C370="","",IF($B370="YM",IFERROR(INDEX(機種マスタ!$I$4:$I$203,MATCH($C370,機種マスタ!$J$4:$J$203,0)),"未登録"),IFERROR(INDEX(機種マスタ!$A$4:$A$363,MATCH($C370,機種マスタ!$B$4:$B$363,0)),"未登録")))</f>
        <v/>
      </c>
      <c r="F370" s="30">
        <f>IF($C370="","",IF($B370="YM",IFERROR(INDEX(機種マスタ!$K$4:$K$203,MATCH($C370,機種マスタ!$J$4:$J$203,0)),"-"),IFERROR(INDEX(機種マスタ!$C$4:$C$363,MATCH($C370,機種マスタ!$B$4:$B$363,0)),"-")))</f>
        <v/>
      </c>
      <c r="G370" s="30">
        <f>IF($C370="","",IF($B370="YM",IFERROR(N(INDEX(機種マスタ!$L$4:$L$203,MATCH($C370,機種マスタ!$J$4:$J$203,0))),0),IFERROR(N(INDEX(機種マスタ!$D$4:$D$363,MATCH($C370,機種マスタ!$B$4:$B$363,0))),0)))</f>
        <v/>
      </c>
      <c r="H370" s="30">
        <f>IF($C370="","",IF($D370="",1,$D370))</f>
        <v/>
      </c>
      <c r="I370" s="30">
        <f>IF($C370="","",IF(G370&gt;0,(G370+IFERROR(VLOOKUP(F370,機種マスタ!$Q$4:$R$6,2,FALSE),0))*H370,0))</f>
        <v/>
      </c>
    </row>
    <row r="371">
      <c r="A371" s="56" t="n"/>
      <c r="B371" s="41" t="n"/>
      <c r="C371" s="40" t="n"/>
      <c r="D371" s="41" t="n"/>
      <c r="E371" s="30">
        <f>IF($C371="","",IF($B371="YM",IFERROR(INDEX(機種マスタ!$I$4:$I$203,MATCH($C371,機種マスタ!$J$4:$J$203,0)),"未登録"),IFERROR(INDEX(機種マスタ!$A$4:$A$363,MATCH($C371,機種マスタ!$B$4:$B$363,0)),"未登録")))</f>
        <v/>
      </c>
      <c r="F371" s="30">
        <f>IF($C371="","",IF($B371="YM",IFERROR(INDEX(機種マスタ!$K$4:$K$203,MATCH($C371,機種マスタ!$J$4:$J$203,0)),"-"),IFERROR(INDEX(機種マスタ!$C$4:$C$363,MATCH($C371,機種マスタ!$B$4:$B$363,0)),"-")))</f>
        <v/>
      </c>
      <c r="G371" s="30">
        <f>IF($C371="","",IF($B371="YM",IFERROR(N(INDEX(機種マスタ!$L$4:$L$203,MATCH($C371,機種マスタ!$J$4:$J$203,0))),0),IFERROR(N(INDEX(機種マスタ!$D$4:$D$363,MATCH($C371,機種マスタ!$B$4:$B$363,0))),0)))</f>
        <v/>
      </c>
      <c r="H371" s="30">
        <f>IF($C371="","",IF($D371="",1,$D371))</f>
        <v/>
      </c>
      <c r="I371" s="30">
        <f>IF($C371="","",IF(G371&gt;0,(G371+IFERROR(VLOOKUP(F371,機種マスタ!$Q$4:$R$6,2,FALSE),0))*H371,0))</f>
        <v/>
      </c>
    </row>
    <row r="372">
      <c r="A372" s="56" t="n"/>
      <c r="B372" s="41" t="n"/>
      <c r="C372" s="40" t="n"/>
      <c r="D372" s="41" t="n"/>
      <c r="E372" s="30">
        <f>IF($C372="","",IF($B372="YM",IFERROR(INDEX(機種マスタ!$I$4:$I$203,MATCH($C372,機種マスタ!$J$4:$J$203,0)),"未登録"),IFERROR(INDEX(機種マスタ!$A$4:$A$363,MATCH($C372,機種マスタ!$B$4:$B$363,0)),"未登録")))</f>
        <v/>
      </c>
      <c r="F372" s="30">
        <f>IF($C372="","",IF($B372="YM",IFERROR(INDEX(機種マスタ!$K$4:$K$203,MATCH($C372,機種マスタ!$J$4:$J$203,0)),"-"),IFERROR(INDEX(機種マスタ!$C$4:$C$363,MATCH($C372,機種マスタ!$B$4:$B$363,0)),"-")))</f>
        <v/>
      </c>
      <c r="G372" s="30">
        <f>IF($C372="","",IF($B372="YM",IFERROR(N(INDEX(機種マスタ!$L$4:$L$203,MATCH($C372,機種マスタ!$J$4:$J$203,0))),0),IFERROR(N(INDEX(機種マスタ!$D$4:$D$363,MATCH($C372,機種マスタ!$B$4:$B$363,0))),0)))</f>
        <v/>
      </c>
      <c r="H372" s="30">
        <f>IF($C372="","",IF($D372="",1,$D372))</f>
        <v/>
      </c>
      <c r="I372" s="30">
        <f>IF($C372="","",IF(G372&gt;0,(G372+IFERROR(VLOOKUP(F372,機種マスタ!$Q$4:$R$6,2,FALSE),0))*H372,0))</f>
        <v/>
      </c>
    </row>
    <row r="373">
      <c r="A373" s="56" t="n"/>
      <c r="B373" s="41" t="n"/>
      <c r="C373" s="40" t="n"/>
      <c r="D373" s="41" t="n"/>
      <c r="E373" s="30">
        <f>IF($C373="","",IF($B373="YM",IFERROR(INDEX(機種マスタ!$I$4:$I$203,MATCH($C373,機種マスタ!$J$4:$J$203,0)),"未登録"),IFERROR(INDEX(機種マスタ!$A$4:$A$363,MATCH($C373,機種マスタ!$B$4:$B$363,0)),"未登録")))</f>
        <v/>
      </c>
      <c r="F373" s="30">
        <f>IF($C373="","",IF($B373="YM",IFERROR(INDEX(機種マスタ!$K$4:$K$203,MATCH($C373,機種マスタ!$J$4:$J$203,0)),"-"),IFERROR(INDEX(機種マスタ!$C$4:$C$363,MATCH($C373,機種マスタ!$B$4:$B$363,0)),"-")))</f>
        <v/>
      </c>
      <c r="G373" s="30">
        <f>IF($C373="","",IF($B373="YM",IFERROR(N(INDEX(機種マスタ!$L$4:$L$203,MATCH($C373,機種マスタ!$J$4:$J$203,0))),0),IFERROR(N(INDEX(機種マスタ!$D$4:$D$363,MATCH($C373,機種マスタ!$B$4:$B$363,0))),0)))</f>
        <v/>
      </c>
      <c r="H373" s="30">
        <f>IF($C373="","",IF($D373="",1,$D373))</f>
        <v/>
      </c>
      <c r="I373" s="30">
        <f>IF($C373="","",IF(G373&gt;0,(G373+IFERROR(VLOOKUP(F373,機種マスタ!$Q$4:$R$6,2,FALSE),0))*H373,0))</f>
        <v/>
      </c>
    </row>
    <row r="374">
      <c r="A374" s="56" t="n"/>
      <c r="B374" s="41" t="n"/>
      <c r="C374" s="40" t="n"/>
      <c r="D374" s="41" t="n"/>
      <c r="E374" s="30">
        <f>IF($C374="","",IF($B374="YM",IFERROR(INDEX(機種マスタ!$I$4:$I$203,MATCH($C374,機種マスタ!$J$4:$J$203,0)),"未登録"),IFERROR(INDEX(機種マスタ!$A$4:$A$363,MATCH($C374,機種マスタ!$B$4:$B$363,0)),"未登録")))</f>
        <v/>
      </c>
      <c r="F374" s="30">
        <f>IF($C374="","",IF($B374="YM",IFERROR(INDEX(機種マスタ!$K$4:$K$203,MATCH($C374,機種マスタ!$J$4:$J$203,0)),"-"),IFERROR(INDEX(機種マスタ!$C$4:$C$363,MATCH($C374,機種マスタ!$B$4:$B$363,0)),"-")))</f>
        <v/>
      </c>
      <c r="G374" s="30">
        <f>IF($C374="","",IF($B374="YM",IFERROR(N(INDEX(機種マスタ!$L$4:$L$203,MATCH($C374,機種マスタ!$J$4:$J$203,0))),0),IFERROR(N(INDEX(機種マスタ!$D$4:$D$363,MATCH($C374,機種マスタ!$B$4:$B$363,0))),0)))</f>
        <v/>
      </c>
      <c r="H374" s="30">
        <f>IF($C374="","",IF($D374="",1,$D374))</f>
        <v/>
      </c>
      <c r="I374" s="30">
        <f>IF($C374="","",IF(G374&gt;0,(G374+IFERROR(VLOOKUP(F374,機種マスタ!$Q$4:$R$6,2,FALSE),0))*H374,0))</f>
        <v/>
      </c>
    </row>
    <row r="375">
      <c r="A375" s="56" t="n"/>
      <c r="B375" s="41" t="n"/>
      <c r="C375" s="40" t="n"/>
      <c r="D375" s="41" t="n"/>
      <c r="E375" s="30">
        <f>IF($C375="","",IF($B375="YM",IFERROR(INDEX(機種マスタ!$I$4:$I$203,MATCH($C375,機種マスタ!$J$4:$J$203,0)),"未登録"),IFERROR(INDEX(機種マスタ!$A$4:$A$363,MATCH($C375,機種マスタ!$B$4:$B$363,0)),"未登録")))</f>
        <v/>
      </c>
      <c r="F375" s="30">
        <f>IF($C375="","",IF($B375="YM",IFERROR(INDEX(機種マスタ!$K$4:$K$203,MATCH($C375,機種マスタ!$J$4:$J$203,0)),"-"),IFERROR(INDEX(機種マスタ!$C$4:$C$363,MATCH($C375,機種マスタ!$B$4:$B$363,0)),"-")))</f>
        <v/>
      </c>
      <c r="G375" s="30">
        <f>IF($C375="","",IF($B375="YM",IFERROR(N(INDEX(機種マスタ!$L$4:$L$203,MATCH($C375,機種マスタ!$J$4:$J$203,0))),0),IFERROR(N(INDEX(機種マスタ!$D$4:$D$363,MATCH($C375,機種マスタ!$B$4:$B$363,0))),0)))</f>
        <v/>
      </c>
      <c r="H375" s="30">
        <f>IF($C375="","",IF($D375="",1,$D375))</f>
        <v/>
      </c>
      <c r="I375" s="30">
        <f>IF($C375="","",IF(G375&gt;0,(G375+IFERROR(VLOOKUP(F375,機種マスタ!$Q$4:$R$6,2,FALSE),0))*H375,0))</f>
        <v/>
      </c>
    </row>
    <row r="376">
      <c r="A376" s="56" t="n"/>
      <c r="B376" s="41" t="n"/>
      <c r="C376" s="40" t="n"/>
      <c r="D376" s="41" t="n"/>
      <c r="E376" s="30">
        <f>IF($C376="","",IF($B376="YM",IFERROR(INDEX(機種マスタ!$I$4:$I$203,MATCH($C376,機種マスタ!$J$4:$J$203,0)),"未登録"),IFERROR(INDEX(機種マスタ!$A$4:$A$363,MATCH($C376,機種マスタ!$B$4:$B$363,0)),"未登録")))</f>
        <v/>
      </c>
      <c r="F376" s="30">
        <f>IF($C376="","",IF($B376="YM",IFERROR(INDEX(機種マスタ!$K$4:$K$203,MATCH($C376,機種マスタ!$J$4:$J$203,0)),"-"),IFERROR(INDEX(機種マスタ!$C$4:$C$363,MATCH($C376,機種マスタ!$B$4:$B$363,0)),"-")))</f>
        <v/>
      </c>
      <c r="G376" s="30">
        <f>IF($C376="","",IF($B376="YM",IFERROR(N(INDEX(機種マスタ!$L$4:$L$203,MATCH($C376,機種マスタ!$J$4:$J$203,0))),0),IFERROR(N(INDEX(機種マスタ!$D$4:$D$363,MATCH($C376,機種マスタ!$B$4:$B$363,0))),0)))</f>
        <v/>
      </c>
      <c r="H376" s="30">
        <f>IF($C376="","",IF($D376="",1,$D376))</f>
        <v/>
      </c>
      <c r="I376" s="30">
        <f>IF($C376="","",IF(G376&gt;0,(G376+IFERROR(VLOOKUP(F376,機種マスタ!$Q$4:$R$6,2,FALSE),0))*H376,0))</f>
        <v/>
      </c>
    </row>
    <row r="377">
      <c r="A377" s="56" t="n"/>
      <c r="B377" s="41" t="n"/>
      <c r="C377" s="40" t="n"/>
      <c r="D377" s="41" t="n"/>
      <c r="E377" s="30">
        <f>IF($C377="","",IF($B377="YM",IFERROR(INDEX(機種マスタ!$I$4:$I$203,MATCH($C377,機種マスタ!$J$4:$J$203,0)),"未登録"),IFERROR(INDEX(機種マスタ!$A$4:$A$363,MATCH($C377,機種マスタ!$B$4:$B$363,0)),"未登録")))</f>
        <v/>
      </c>
      <c r="F377" s="30">
        <f>IF($C377="","",IF($B377="YM",IFERROR(INDEX(機種マスタ!$K$4:$K$203,MATCH($C377,機種マスタ!$J$4:$J$203,0)),"-"),IFERROR(INDEX(機種マスタ!$C$4:$C$363,MATCH($C377,機種マスタ!$B$4:$B$363,0)),"-")))</f>
        <v/>
      </c>
      <c r="G377" s="30">
        <f>IF($C377="","",IF($B377="YM",IFERROR(N(INDEX(機種マスタ!$L$4:$L$203,MATCH($C377,機種マスタ!$J$4:$J$203,0))),0),IFERROR(N(INDEX(機種マスタ!$D$4:$D$363,MATCH($C377,機種マスタ!$B$4:$B$363,0))),0)))</f>
        <v/>
      </c>
      <c r="H377" s="30">
        <f>IF($C377="","",IF($D377="",1,$D377))</f>
        <v/>
      </c>
      <c r="I377" s="30">
        <f>IF($C377="","",IF(G377&gt;0,(G377+IFERROR(VLOOKUP(F377,機種マスタ!$Q$4:$R$6,2,FALSE),0))*H377,0))</f>
        <v/>
      </c>
    </row>
    <row r="378">
      <c r="A378" s="56" t="n"/>
      <c r="B378" s="41" t="n"/>
      <c r="C378" s="40" t="n"/>
      <c r="D378" s="41" t="n"/>
      <c r="E378" s="30">
        <f>IF($C378="","",IF($B378="YM",IFERROR(INDEX(機種マスタ!$I$4:$I$203,MATCH($C378,機種マスタ!$J$4:$J$203,0)),"未登録"),IFERROR(INDEX(機種マスタ!$A$4:$A$363,MATCH($C378,機種マスタ!$B$4:$B$363,0)),"未登録")))</f>
        <v/>
      </c>
      <c r="F378" s="30">
        <f>IF($C378="","",IF($B378="YM",IFERROR(INDEX(機種マスタ!$K$4:$K$203,MATCH($C378,機種マスタ!$J$4:$J$203,0)),"-"),IFERROR(INDEX(機種マスタ!$C$4:$C$363,MATCH($C378,機種マスタ!$B$4:$B$363,0)),"-")))</f>
        <v/>
      </c>
      <c r="G378" s="30">
        <f>IF($C378="","",IF($B378="YM",IFERROR(N(INDEX(機種マスタ!$L$4:$L$203,MATCH($C378,機種マスタ!$J$4:$J$203,0))),0),IFERROR(N(INDEX(機種マスタ!$D$4:$D$363,MATCH($C378,機種マスタ!$B$4:$B$363,0))),0)))</f>
        <v/>
      </c>
      <c r="H378" s="30">
        <f>IF($C378="","",IF($D378="",1,$D378))</f>
        <v/>
      </c>
      <c r="I378" s="30">
        <f>IF($C378="","",IF(G378&gt;0,(G378+IFERROR(VLOOKUP(F378,機種マスタ!$Q$4:$R$6,2,FALSE),0))*H378,0))</f>
        <v/>
      </c>
    </row>
    <row r="379">
      <c r="A379" s="56" t="n"/>
      <c r="B379" s="41" t="n"/>
      <c r="C379" s="40" t="n"/>
      <c r="D379" s="41" t="n"/>
      <c r="E379" s="30">
        <f>IF($C379="","",IF($B379="YM",IFERROR(INDEX(機種マスタ!$I$4:$I$203,MATCH($C379,機種マスタ!$J$4:$J$203,0)),"未登録"),IFERROR(INDEX(機種マスタ!$A$4:$A$363,MATCH($C379,機種マスタ!$B$4:$B$363,0)),"未登録")))</f>
        <v/>
      </c>
      <c r="F379" s="30">
        <f>IF($C379="","",IF($B379="YM",IFERROR(INDEX(機種マスタ!$K$4:$K$203,MATCH($C379,機種マスタ!$J$4:$J$203,0)),"-"),IFERROR(INDEX(機種マスタ!$C$4:$C$363,MATCH($C379,機種マスタ!$B$4:$B$363,0)),"-")))</f>
        <v/>
      </c>
      <c r="G379" s="30">
        <f>IF($C379="","",IF($B379="YM",IFERROR(N(INDEX(機種マスタ!$L$4:$L$203,MATCH($C379,機種マスタ!$J$4:$J$203,0))),0),IFERROR(N(INDEX(機種マスタ!$D$4:$D$363,MATCH($C379,機種マスタ!$B$4:$B$363,0))),0)))</f>
        <v/>
      </c>
      <c r="H379" s="30">
        <f>IF($C379="","",IF($D379="",1,$D379))</f>
        <v/>
      </c>
      <c r="I379" s="30">
        <f>IF($C379="","",IF(G379&gt;0,(G379+IFERROR(VLOOKUP(F379,機種マスタ!$Q$4:$R$6,2,FALSE),0))*H379,0))</f>
        <v/>
      </c>
    </row>
    <row r="380">
      <c r="A380" s="56" t="n"/>
      <c r="B380" s="41" t="n"/>
      <c r="C380" s="40" t="n"/>
      <c r="D380" s="41" t="n"/>
      <c r="E380" s="30">
        <f>IF($C380="","",IF($B380="YM",IFERROR(INDEX(機種マスタ!$I$4:$I$203,MATCH($C380,機種マスタ!$J$4:$J$203,0)),"未登録"),IFERROR(INDEX(機種マスタ!$A$4:$A$363,MATCH($C380,機種マスタ!$B$4:$B$363,0)),"未登録")))</f>
        <v/>
      </c>
      <c r="F380" s="30">
        <f>IF($C380="","",IF($B380="YM",IFERROR(INDEX(機種マスタ!$K$4:$K$203,MATCH($C380,機種マスタ!$J$4:$J$203,0)),"-"),IFERROR(INDEX(機種マスタ!$C$4:$C$363,MATCH($C380,機種マスタ!$B$4:$B$363,0)),"-")))</f>
        <v/>
      </c>
      <c r="G380" s="30">
        <f>IF($C380="","",IF($B380="YM",IFERROR(N(INDEX(機種マスタ!$L$4:$L$203,MATCH($C380,機種マスタ!$J$4:$J$203,0))),0),IFERROR(N(INDEX(機種マスタ!$D$4:$D$363,MATCH($C380,機種マスタ!$B$4:$B$363,0))),0)))</f>
        <v/>
      </c>
      <c r="H380" s="30">
        <f>IF($C380="","",IF($D380="",1,$D380))</f>
        <v/>
      </c>
      <c r="I380" s="30">
        <f>IF($C380="","",IF(G380&gt;0,(G380+IFERROR(VLOOKUP(F380,機種マスタ!$Q$4:$R$6,2,FALSE),0))*H380,0))</f>
        <v/>
      </c>
    </row>
    <row r="381">
      <c r="A381" s="56" t="n"/>
      <c r="B381" s="41" t="n"/>
      <c r="C381" s="40" t="n"/>
      <c r="D381" s="41" t="n"/>
      <c r="E381" s="30">
        <f>IF($C381="","",IF($B381="YM",IFERROR(INDEX(機種マスタ!$I$4:$I$203,MATCH($C381,機種マスタ!$J$4:$J$203,0)),"未登録"),IFERROR(INDEX(機種マスタ!$A$4:$A$363,MATCH($C381,機種マスタ!$B$4:$B$363,0)),"未登録")))</f>
        <v/>
      </c>
      <c r="F381" s="30">
        <f>IF($C381="","",IF($B381="YM",IFERROR(INDEX(機種マスタ!$K$4:$K$203,MATCH($C381,機種マスタ!$J$4:$J$203,0)),"-"),IFERROR(INDEX(機種マスタ!$C$4:$C$363,MATCH($C381,機種マスタ!$B$4:$B$363,0)),"-")))</f>
        <v/>
      </c>
      <c r="G381" s="30">
        <f>IF($C381="","",IF($B381="YM",IFERROR(N(INDEX(機種マスタ!$L$4:$L$203,MATCH($C381,機種マスタ!$J$4:$J$203,0))),0),IFERROR(N(INDEX(機種マスタ!$D$4:$D$363,MATCH($C381,機種マスタ!$B$4:$B$363,0))),0)))</f>
        <v/>
      </c>
      <c r="H381" s="30">
        <f>IF($C381="","",IF($D381="",1,$D381))</f>
        <v/>
      </c>
      <c r="I381" s="30">
        <f>IF($C381="","",IF(G381&gt;0,(G381+IFERROR(VLOOKUP(F381,機種マスタ!$Q$4:$R$6,2,FALSE),0))*H381,0))</f>
        <v/>
      </c>
    </row>
    <row r="382">
      <c r="A382" s="56" t="n"/>
      <c r="B382" s="41" t="n"/>
      <c r="C382" s="40" t="n"/>
      <c r="D382" s="41" t="n"/>
      <c r="E382" s="30">
        <f>IF($C382="","",IF($B382="YM",IFERROR(INDEX(機種マスタ!$I$4:$I$203,MATCH($C382,機種マスタ!$J$4:$J$203,0)),"未登録"),IFERROR(INDEX(機種マスタ!$A$4:$A$363,MATCH($C382,機種マスタ!$B$4:$B$363,0)),"未登録")))</f>
        <v/>
      </c>
      <c r="F382" s="30">
        <f>IF($C382="","",IF($B382="YM",IFERROR(INDEX(機種マスタ!$K$4:$K$203,MATCH($C382,機種マスタ!$J$4:$J$203,0)),"-"),IFERROR(INDEX(機種マスタ!$C$4:$C$363,MATCH($C382,機種マスタ!$B$4:$B$363,0)),"-")))</f>
        <v/>
      </c>
      <c r="G382" s="30">
        <f>IF($C382="","",IF($B382="YM",IFERROR(N(INDEX(機種マスタ!$L$4:$L$203,MATCH($C382,機種マスタ!$J$4:$J$203,0))),0),IFERROR(N(INDEX(機種マスタ!$D$4:$D$363,MATCH($C382,機種マスタ!$B$4:$B$363,0))),0)))</f>
        <v/>
      </c>
      <c r="H382" s="30">
        <f>IF($C382="","",IF($D382="",1,$D382))</f>
        <v/>
      </c>
      <c r="I382" s="30">
        <f>IF($C382="","",IF(G382&gt;0,(G382+IFERROR(VLOOKUP(F382,機種マスタ!$Q$4:$R$6,2,FALSE),0))*H382,0))</f>
        <v/>
      </c>
    </row>
    <row r="383">
      <c r="A383" s="56" t="n"/>
      <c r="B383" s="41" t="n"/>
      <c r="C383" s="40" t="n"/>
      <c r="D383" s="41" t="n"/>
      <c r="E383" s="30">
        <f>IF($C383="","",IF($B383="YM",IFERROR(INDEX(機種マスタ!$I$4:$I$203,MATCH($C383,機種マスタ!$J$4:$J$203,0)),"未登録"),IFERROR(INDEX(機種マスタ!$A$4:$A$363,MATCH($C383,機種マスタ!$B$4:$B$363,0)),"未登録")))</f>
        <v/>
      </c>
      <c r="F383" s="30">
        <f>IF($C383="","",IF($B383="YM",IFERROR(INDEX(機種マスタ!$K$4:$K$203,MATCH($C383,機種マスタ!$J$4:$J$203,0)),"-"),IFERROR(INDEX(機種マスタ!$C$4:$C$363,MATCH($C383,機種マスタ!$B$4:$B$363,0)),"-")))</f>
        <v/>
      </c>
      <c r="G383" s="30">
        <f>IF($C383="","",IF($B383="YM",IFERROR(N(INDEX(機種マスタ!$L$4:$L$203,MATCH($C383,機種マスタ!$J$4:$J$203,0))),0),IFERROR(N(INDEX(機種マスタ!$D$4:$D$363,MATCH($C383,機種マスタ!$B$4:$B$363,0))),0)))</f>
        <v/>
      </c>
      <c r="H383" s="30">
        <f>IF($C383="","",IF($D383="",1,$D383))</f>
        <v/>
      </c>
      <c r="I383" s="30">
        <f>IF($C383="","",IF(G383&gt;0,(G383+IFERROR(VLOOKUP(F383,機種マスタ!$Q$4:$R$6,2,FALSE),0))*H383,0))</f>
        <v/>
      </c>
    </row>
    <row r="384">
      <c r="A384" s="56" t="n"/>
      <c r="B384" s="41" t="n"/>
      <c r="C384" s="40" t="n"/>
      <c r="D384" s="41" t="n"/>
      <c r="E384" s="30">
        <f>IF($C384="","",IF($B384="YM",IFERROR(INDEX(機種マスタ!$I$4:$I$203,MATCH($C384,機種マスタ!$J$4:$J$203,0)),"未登録"),IFERROR(INDEX(機種マスタ!$A$4:$A$363,MATCH($C384,機種マスタ!$B$4:$B$363,0)),"未登録")))</f>
        <v/>
      </c>
      <c r="F384" s="30">
        <f>IF($C384="","",IF($B384="YM",IFERROR(INDEX(機種マスタ!$K$4:$K$203,MATCH($C384,機種マスタ!$J$4:$J$203,0)),"-"),IFERROR(INDEX(機種マスタ!$C$4:$C$363,MATCH($C384,機種マスタ!$B$4:$B$363,0)),"-")))</f>
        <v/>
      </c>
      <c r="G384" s="30">
        <f>IF($C384="","",IF($B384="YM",IFERROR(N(INDEX(機種マスタ!$L$4:$L$203,MATCH($C384,機種マスタ!$J$4:$J$203,0))),0),IFERROR(N(INDEX(機種マスタ!$D$4:$D$363,MATCH($C384,機種マスタ!$B$4:$B$363,0))),0)))</f>
        <v/>
      </c>
      <c r="H384" s="30">
        <f>IF($C384="","",IF($D384="",1,$D384))</f>
        <v/>
      </c>
      <c r="I384" s="30">
        <f>IF($C384="","",IF(G384&gt;0,(G384+IFERROR(VLOOKUP(F384,機種マスタ!$Q$4:$R$6,2,FALSE),0))*H384,0))</f>
        <v/>
      </c>
    </row>
    <row r="385">
      <c r="A385" s="56" t="n"/>
      <c r="B385" s="41" t="n"/>
      <c r="C385" s="40" t="n"/>
      <c r="D385" s="41" t="n"/>
      <c r="E385" s="30">
        <f>IF($C385="","",IF($B385="YM",IFERROR(INDEX(機種マスタ!$I$4:$I$203,MATCH($C385,機種マスタ!$J$4:$J$203,0)),"未登録"),IFERROR(INDEX(機種マスタ!$A$4:$A$363,MATCH($C385,機種マスタ!$B$4:$B$363,0)),"未登録")))</f>
        <v/>
      </c>
      <c r="F385" s="30">
        <f>IF($C385="","",IF($B385="YM",IFERROR(INDEX(機種マスタ!$K$4:$K$203,MATCH($C385,機種マスタ!$J$4:$J$203,0)),"-"),IFERROR(INDEX(機種マスタ!$C$4:$C$363,MATCH($C385,機種マスタ!$B$4:$B$363,0)),"-")))</f>
        <v/>
      </c>
      <c r="G385" s="30">
        <f>IF($C385="","",IF($B385="YM",IFERROR(N(INDEX(機種マスタ!$L$4:$L$203,MATCH($C385,機種マスタ!$J$4:$J$203,0))),0),IFERROR(N(INDEX(機種マスタ!$D$4:$D$363,MATCH($C385,機種マスタ!$B$4:$B$363,0))),0)))</f>
        <v/>
      </c>
      <c r="H385" s="30">
        <f>IF($C385="","",IF($D385="",1,$D385))</f>
        <v/>
      </c>
      <c r="I385" s="30">
        <f>IF($C385="","",IF(G385&gt;0,(G385+IFERROR(VLOOKUP(F385,機種マスタ!$Q$4:$R$6,2,FALSE),0))*H385,0))</f>
        <v/>
      </c>
    </row>
    <row r="386">
      <c r="A386" s="56" t="n"/>
      <c r="B386" s="41" t="n"/>
      <c r="C386" s="40" t="n"/>
      <c r="D386" s="41" t="n"/>
      <c r="E386" s="30">
        <f>IF($C386="","",IF($B386="YM",IFERROR(INDEX(機種マスタ!$I$4:$I$203,MATCH($C386,機種マスタ!$J$4:$J$203,0)),"未登録"),IFERROR(INDEX(機種マスタ!$A$4:$A$363,MATCH($C386,機種マスタ!$B$4:$B$363,0)),"未登録")))</f>
        <v/>
      </c>
      <c r="F386" s="30">
        <f>IF($C386="","",IF($B386="YM",IFERROR(INDEX(機種マスタ!$K$4:$K$203,MATCH($C386,機種マスタ!$J$4:$J$203,0)),"-"),IFERROR(INDEX(機種マスタ!$C$4:$C$363,MATCH($C386,機種マスタ!$B$4:$B$363,0)),"-")))</f>
        <v/>
      </c>
      <c r="G386" s="30">
        <f>IF($C386="","",IF($B386="YM",IFERROR(N(INDEX(機種マスタ!$L$4:$L$203,MATCH($C386,機種マスタ!$J$4:$J$203,0))),0),IFERROR(N(INDEX(機種マスタ!$D$4:$D$363,MATCH($C386,機種マスタ!$B$4:$B$363,0))),0)))</f>
        <v/>
      </c>
      <c r="H386" s="30">
        <f>IF($C386="","",IF($D386="",1,$D386))</f>
        <v/>
      </c>
      <c r="I386" s="30">
        <f>IF($C386="","",IF(G386&gt;0,(G386+IFERROR(VLOOKUP(F386,機種マスタ!$Q$4:$R$6,2,FALSE),0))*H386,0))</f>
        <v/>
      </c>
    </row>
    <row r="387">
      <c r="A387" s="56" t="n"/>
      <c r="B387" s="41" t="n"/>
      <c r="C387" s="40" t="n"/>
      <c r="D387" s="41" t="n"/>
      <c r="E387" s="30">
        <f>IF($C387="","",IF($B387="YM",IFERROR(INDEX(機種マスタ!$I$4:$I$203,MATCH($C387,機種マスタ!$J$4:$J$203,0)),"未登録"),IFERROR(INDEX(機種マスタ!$A$4:$A$363,MATCH($C387,機種マスタ!$B$4:$B$363,0)),"未登録")))</f>
        <v/>
      </c>
      <c r="F387" s="30">
        <f>IF($C387="","",IF($B387="YM",IFERROR(INDEX(機種マスタ!$K$4:$K$203,MATCH($C387,機種マスタ!$J$4:$J$203,0)),"-"),IFERROR(INDEX(機種マスタ!$C$4:$C$363,MATCH($C387,機種マスタ!$B$4:$B$363,0)),"-")))</f>
        <v/>
      </c>
      <c r="G387" s="30">
        <f>IF($C387="","",IF($B387="YM",IFERROR(N(INDEX(機種マスタ!$L$4:$L$203,MATCH($C387,機種マスタ!$J$4:$J$203,0))),0),IFERROR(N(INDEX(機種マスタ!$D$4:$D$363,MATCH($C387,機種マスタ!$B$4:$B$363,0))),0)))</f>
        <v/>
      </c>
      <c r="H387" s="30">
        <f>IF($C387="","",IF($D387="",1,$D387))</f>
        <v/>
      </c>
      <c r="I387" s="30">
        <f>IF($C387="","",IF(G387&gt;0,(G387+IFERROR(VLOOKUP(F387,機種マスタ!$Q$4:$R$6,2,FALSE),0))*H387,0))</f>
        <v/>
      </c>
    </row>
    <row r="388">
      <c r="A388" s="56" t="n"/>
      <c r="B388" s="41" t="n"/>
      <c r="C388" s="40" t="n"/>
      <c r="D388" s="41" t="n"/>
      <c r="E388" s="30">
        <f>IF($C388="","",IF($B388="YM",IFERROR(INDEX(機種マスタ!$I$4:$I$203,MATCH($C388,機種マスタ!$J$4:$J$203,0)),"未登録"),IFERROR(INDEX(機種マスタ!$A$4:$A$363,MATCH($C388,機種マスタ!$B$4:$B$363,0)),"未登録")))</f>
        <v/>
      </c>
      <c r="F388" s="30">
        <f>IF($C388="","",IF($B388="YM",IFERROR(INDEX(機種マスタ!$K$4:$K$203,MATCH($C388,機種マスタ!$J$4:$J$203,0)),"-"),IFERROR(INDEX(機種マスタ!$C$4:$C$363,MATCH($C388,機種マスタ!$B$4:$B$363,0)),"-")))</f>
        <v/>
      </c>
      <c r="G388" s="30">
        <f>IF($C388="","",IF($B388="YM",IFERROR(N(INDEX(機種マスタ!$L$4:$L$203,MATCH($C388,機種マスタ!$J$4:$J$203,0))),0),IFERROR(N(INDEX(機種マスタ!$D$4:$D$363,MATCH($C388,機種マスタ!$B$4:$B$363,0))),0)))</f>
        <v/>
      </c>
      <c r="H388" s="30">
        <f>IF($C388="","",IF($D388="",1,$D388))</f>
        <v/>
      </c>
      <c r="I388" s="30">
        <f>IF($C388="","",IF(G388&gt;0,(G388+IFERROR(VLOOKUP(F388,機種マスタ!$Q$4:$R$6,2,FALSE),0))*H388,0))</f>
        <v/>
      </c>
    </row>
    <row r="389">
      <c r="A389" s="56" t="n"/>
      <c r="B389" s="41" t="n"/>
      <c r="C389" s="40" t="n"/>
      <c r="D389" s="41" t="n"/>
      <c r="E389" s="30">
        <f>IF($C389="","",IF($B389="YM",IFERROR(INDEX(機種マスタ!$I$4:$I$203,MATCH($C389,機種マスタ!$J$4:$J$203,0)),"未登録"),IFERROR(INDEX(機種マスタ!$A$4:$A$363,MATCH($C389,機種マスタ!$B$4:$B$363,0)),"未登録")))</f>
        <v/>
      </c>
      <c r="F389" s="30">
        <f>IF($C389="","",IF($B389="YM",IFERROR(INDEX(機種マスタ!$K$4:$K$203,MATCH($C389,機種マスタ!$J$4:$J$203,0)),"-"),IFERROR(INDEX(機種マスタ!$C$4:$C$363,MATCH($C389,機種マスタ!$B$4:$B$363,0)),"-")))</f>
        <v/>
      </c>
      <c r="G389" s="30">
        <f>IF($C389="","",IF($B389="YM",IFERROR(N(INDEX(機種マスタ!$L$4:$L$203,MATCH($C389,機種マスタ!$J$4:$J$203,0))),0),IFERROR(N(INDEX(機種マスタ!$D$4:$D$363,MATCH($C389,機種マスタ!$B$4:$B$363,0))),0)))</f>
        <v/>
      </c>
      <c r="H389" s="30">
        <f>IF($C389="","",IF($D389="",1,$D389))</f>
        <v/>
      </c>
      <c r="I389" s="30">
        <f>IF($C389="","",IF(G389&gt;0,(G389+IFERROR(VLOOKUP(F389,機種マスタ!$Q$4:$R$6,2,FALSE),0))*H389,0))</f>
        <v/>
      </c>
    </row>
    <row r="390">
      <c r="A390" s="56" t="n"/>
      <c r="B390" s="41" t="n"/>
      <c r="C390" s="40" t="n"/>
      <c r="D390" s="41" t="n"/>
      <c r="E390" s="30">
        <f>IF($C390="","",IF($B390="YM",IFERROR(INDEX(機種マスタ!$I$4:$I$203,MATCH($C390,機種マスタ!$J$4:$J$203,0)),"未登録"),IFERROR(INDEX(機種マスタ!$A$4:$A$363,MATCH($C390,機種マスタ!$B$4:$B$363,0)),"未登録")))</f>
        <v/>
      </c>
      <c r="F390" s="30">
        <f>IF($C390="","",IF($B390="YM",IFERROR(INDEX(機種マスタ!$K$4:$K$203,MATCH($C390,機種マスタ!$J$4:$J$203,0)),"-"),IFERROR(INDEX(機種マスタ!$C$4:$C$363,MATCH($C390,機種マスタ!$B$4:$B$363,0)),"-")))</f>
        <v/>
      </c>
      <c r="G390" s="30">
        <f>IF($C390="","",IF($B390="YM",IFERROR(N(INDEX(機種マスタ!$L$4:$L$203,MATCH($C390,機種マスタ!$J$4:$J$203,0))),0),IFERROR(N(INDEX(機種マスタ!$D$4:$D$363,MATCH($C390,機種マスタ!$B$4:$B$363,0))),0)))</f>
        <v/>
      </c>
      <c r="H390" s="30">
        <f>IF($C390="","",IF($D390="",1,$D390))</f>
        <v/>
      </c>
      <c r="I390" s="30">
        <f>IF($C390="","",IF(G390&gt;0,(G390+IFERROR(VLOOKUP(F390,機種マスタ!$Q$4:$R$6,2,FALSE),0))*H390,0))</f>
        <v/>
      </c>
    </row>
    <row r="391">
      <c r="A391" s="56" t="n"/>
      <c r="B391" s="41" t="n"/>
      <c r="C391" s="40" t="n"/>
      <c r="D391" s="41" t="n"/>
      <c r="E391" s="30">
        <f>IF($C391="","",IF($B391="YM",IFERROR(INDEX(機種マスタ!$I$4:$I$203,MATCH($C391,機種マスタ!$J$4:$J$203,0)),"未登録"),IFERROR(INDEX(機種マスタ!$A$4:$A$363,MATCH($C391,機種マスタ!$B$4:$B$363,0)),"未登録")))</f>
        <v/>
      </c>
      <c r="F391" s="30">
        <f>IF($C391="","",IF($B391="YM",IFERROR(INDEX(機種マスタ!$K$4:$K$203,MATCH($C391,機種マスタ!$J$4:$J$203,0)),"-"),IFERROR(INDEX(機種マスタ!$C$4:$C$363,MATCH($C391,機種マスタ!$B$4:$B$363,0)),"-")))</f>
        <v/>
      </c>
      <c r="G391" s="30">
        <f>IF($C391="","",IF($B391="YM",IFERROR(N(INDEX(機種マスタ!$L$4:$L$203,MATCH($C391,機種マスタ!$J$4:$J$203,0))),0),IFERROR(N(INDEX(機種マスタ!$D$4:$D$363,MATCH($C391,機種マスタ!$B$4:$B$363,0))),0)))</f>
        <v/>
      </c>
      <c r="H391" s="30">
        <f>IF($C391="","",IF($D391="",1,$D391))</f>
        <v/>
      </c>
      <c r="I391" s="30">
        <f>IF($C391="","",IF(G391&gt;0,(G391+IFERROR(VLOOKUP(F391,機種マスタ!$Q$4:$R$6,2,FALSE),0))*H391,0))</f>
        <v/>
      </c>
    </row>
    <row r="392">
      <c r="A392" s="56" t="n"/>
      <c r="B392" s="41" t="n"/>
      <c r="C392" s="40" t="n"/>
      <c r="D392" s="41" t="n"/>
      <c r="E392" s="30">
        <f>IF($C392="","",IF($B392="YM",IFERROR(INDEX(機種マスタ!$I$4:$I$203,MATCH($C392,機種マスタ!$J$4:$J$203,0)),"未登録"),IFERROR(INDEX(機種マスタ!$A$4:$A$363,MATCH($C392,機種マスタ!$B$4:$B$363,0)),"未登録")))</f>
        <v/>
      </c>
      <c r="F392" s="30">
        <f>IF($C392="","",IF($B392="YM",IFERROR(INDEX(機種マスタ!$K$4:$K$203,MATCH($C392,機種マスタ!$J$4:$J$203,0)),"-"),IFERROR(INDEX(機種マスタ!$C$4:$C$363,MATCH($C392,機種マスタ!$B$4:$B$363,0)),"-")))</f>
        <v/>
      </c>
      <c r="G392" s="30">
        <f>IF($C392="","",IF($B392="YM",IFERROR(N(INDEX(機種マスタ!$L$4:$L$203,MATCH($C392,機種マスタ!$J$4:$J$203,0))),0),IFERROR(N(INDEX(機種マスタ!$D$4:$D$363,MATCH($C392,機種マスタ!$B$4:$B$363,0))),0)))</f>
        <v/>
      </c>
      <c r="H392" s="30">
        <f>IF($C392="","",IF($D392="",1,$D392))</f>
        <v/>
      </c>
      <c r="I392" s="30">
        <f>IF($C392="","",IF(G392&gt;0,(G392+IFERROR(VLOOKUP(F392,機種マスタ!$Q$4:$R$6,2,FALSE),0))*H392,0))</f>
        <v/>
      </c>
    </row>
    <row r="393">
      <c r="A393" s="56" t="n"/>
      <c r="B393" s="41" t="n"/>
      <c r="C393" s="40" t="n"/>
      <c r="D393" s="41" t="n"/>
      <c r="E393" s="30">
        <f>IF($C393="","",IF($B393="YM",IFERROR(INDEX(機種マスタ!$I$4:$I$203,MATCH($C393,機種マスタ!$J$4:$J$203,0)),"未登録"),IFERROR(INDEX(機種マスタ!$A$4:$A$363,MATCH($C393,機種マスタ!$B$4:$B$363,0)),"未登録")))</f>
        <v/>
      </c>
      <c r="F393" s="30">
        <f>IF($C393="","",IF($B393="YM",IFERROR(INDEX(機種マスタ!$K$4:$K$203,MATCH($C393,機種マスタ!$J$4:$J$203,0)),"-"),IFERROR(INDEX(機種マスタ!$C$4:$C$363,MATCH($C393,機種マスタ!$B$4:$B$363,0)),"-")))</f>
        <v/>
      </c>
      <c r="G393" s="30">
        <f>IF($C393="","",IF($B393="YM",IFERROR(N(INDEX(機種マスタ!$L$4:$L$203,MATCH($C393,機種マスタ!$J$4:$J$203,0))),0),IFERROR(N(INDEX(機種マスタ!$D$4:$D$363,MATCH($C393,機種マスタ!$B$4:$B$363,0))),0)))</f>
        <v/>
      </c>
      <c r="H393" s="30">
        <f>IF($C393="","",IF($D393="",1,$D393))</f>
        <v/>
      </c>
      <c r="I393" s="30">
        <f>IF($C393="","",IF(G393&gt;0,(G393+IFERROR(VLOOKUP(F393,機種マスタ!$Q$4:$R$6,2,FALSE),0))*H393,0))</f>
        <v/>
      </c>
    </row>
    <row r="394">
      <c r="A394" s="56" t="n"/>
      <c r="B394" s="41" t="n"/>
      <c r="C394" s="40" t="n"/>
      <c r="D394" s="41" t="n"/>
      <c r="E394" s="30">
        <f>IF($C394="","",IF($B394="YM",IFERROR(INDEX(機種マスタ!$I$4:$I$203,MATCH($C394,機種マスタ!$J$4:$J$203,0)),"未登録"),IFERROR(INDEX(機種マスタ!$A$4:$A$363,MATCH($C394,機種マスタ!$B$4:$B$363,0)),"未登録")))</f>
        <v/>
      </c>
      <c r="F394" s="30">
        <f>IF($C394="","",IF($B394="YM",IFERROR(INDEX(機種マスタ!$K$4:$K$203,MATCH($C394,機種マスタ!$J$4:$J$203,0)),"-"),IFERROR(INDEX(機種マスタ!$C$4:$C$363,MATCH($C394,機種マスタ!$B$4:$B$363,0)),"-")))</f>
        <v/>
      </c>
      <c r="G394" s="30">
        <f>IF($C394="","",IF($B394="YM",IFERROR(N(INDEX(機種マスタ!$L$4:$L$203,MATCH($C394,機種マスタ!$J$4:$J$203,0))),0),IFERROR(N(INDEX(機種マスタ!$D$4:$D$363,MATCH($C394,機種マスタ!$B$4:$B$363,0))),0)))</f>
        <v/>
      </c>
      <c r="H394" s="30">
        <f>IF($C394="","",IF($D394="",1,$D394))</f>
        <v/>
      </c>
      <c r="I394" s="30">
        <f>IF($C394="","",IF(G394&gt;0,(G394+IFERROR(VLOOKUP(F394,機種マスタ!$Q$4:$R$6,2,FALSE),0))*H394,0))</f>
        <v/>
      </c>
    </row>
    <row r="395">
      <c r="A395" s="56" t="n"/>
      <c r="B395" s="41" t="n"/>
      <c r="C395" s="40" t="n"/>
      <c r="D395" s="41" t="n"/>
      <c r="E395" s="30">
        <f>IF($C395="","",IF($B395="YM",IFERROR(INDEX(機種マスタ!$I$4:$I$203,MATCH($C395,機種マスタ!$J$4:$J$203,0)),"未登録"),IFERROR(INDEX(機種マスタ!$A$4:$A$363,MATCH($C395,機種マスタ!$B$4:$B$363,0)),"未登録")))</f>
        <v/>
      </c>
      <c r="F395" s="30">
        <f>IF($C395="","",IF($B395="YM",IFERROR(INDEX(機種マスタ!$K$4:$K$203,MATCH($C395,機種マスタ!$J$4:$J$203,0)),"-"),IFERROR(INDEX(機種マスタ!$C$4:$C$363,MATCH($C395,機種マスタ!$B$4:$B$363,0)),"-")))</f>
        <v/>
      </c>
      <c r="G395" s="30">
        <f>IF($C395="","",IF($B395="YM",IFERROR(N(INDEX(機種マスタ!$L$4:$L$203,MATCH($C395,機種マスタ!$J$4:$J$203,0))),0),IFERROR(N(INDEX(機種マスタ!$D$4:$D$363,MATCH($C395,機種マスタ!$B$4:$B$363,0))),0)))</f>
        <v/>
      </c>
      <c r="H395" s="30">
        <f>IF($C395="","",IF($D395="",1,$D395))</f>
        <v/>
      </c>
      <c r="I395" s="30">
        <f>IF($C395="","",IF(G395&gt;0,(G395+IFERROR(VLOOKUP(F395,機種マスタ!$Q$4:$R$6,2,FALSE),0))*H395,0))</f>
        <v/>
      </c>
    </row>
    <row r="396">
      <c r="A396" s="56" t="n"/>
      <c r="B396" s="41" t="n"/>
      <c r="C396" s="40" t="n"/>
      <c r="D396" s="41" t="n"/>
      <c r="E396" s="30">
        <f>IF($C396="","",IF($B396="YM",IFERROR(INDEX(機種マスタ!$I$4:$I$203,MATCH($C396,機種マスタ!$J$4:$J$203,0)),"未登録"),IFERROR(INDEX(機種マスタ!$A$4:$A$363,MATCH($C396,機種マスタ!$B$4:$B$363,0)),"未登録")))</f>
        <v/>
      </c>
      <c r="F396" s="30">
        <f>IF($C396="","",IF($B396="YM",IFERROR(INDEX(機種マスタ!$K$4:$K$203,MATCH($C396,機種マスタ!$J$4:$J$203,0)),"-"),IFERROR(INDEX(機種マスタ!$C$4:$C$363,MATCH($C396,機種マスタ!$B$4:$B$363,0)),"-")))</f>
        <v/>
      </c>
      <c r="G396" s="30">
        <f>IF($C396="","",IF($B396="YM",IFERROR(N(INDEX(機種マスタ!$L$4:$L$203,MATCH($C396,機種マスタ!$J$4:$J$203,0))),0),IFERROR(N(INDEX(機種マスタ!$D$4:$D$363,MATCH($C396,機種マスタ!$B$4:$B$363,0))),0)))</f>
        <v/>
      </c>
      <c r="H396" s="30">
        <f>IF($C396="","",IF($D396="",1,$D396))</f>
        <v/>
      </c>
      <c r="I396" s="30">
        <f>IF($C396="","",IF(G396&gt;0,(G396+IFERROR(VLOOKUP(F396,機種マスタ!$Q$4:$R$6,2,FALSE),0))*H396,0))</f>
        <v/>
      </c>
    </row>
    <row r="397">
      <c r="A397" s="56" t="n"/>
      <c r="B397" s="41" t="n"/>
      <c r="C397" s="40" t="n"/>
      <c r="D397" s="41" t="n"/>
      <c r="E397" s="30">
        <f>IF($C397="","",IF($B397="YM",IFERROR(INDEX(機種マスタ!$I$4:$I$203,MATCH($C397,機種マスタ!$J$4:$J$203,0)),"未登録"),IFERROR(INDEX(機種マスタ!$A$4:$A$363,MATCH($C397,機種マスタ!$B$4:$B$363,0)),"未登録")))</f>
        <v/>
      </c>
      <c r="F397" s="30">
        <f>IF($C397="","",IF($B397="YM",IFERROR(INDEX(機種マスタ!$K$4:$K$203,MATCH($C397,機種マスタ!$J$4:$J$203,0)),"-"),IFERROR(INDEX(機種マスタ!$C$4:$C$363,MATCH($C397,機種マスタ!$B$4:$B$363,0)),"-")))</f>
        <v/>
      </c>
      <c r="G397" s="30">
        <f>IF($C397="","",IF($B397="YM",IFERROR(N(INDEX(機種マスタ!$L$4:$L$203,MATCH($C397,機種マスタ!$J$4:$J$203,0))),0),IFERROR(N(INDEX(機種マスタ!$D$4:$D$363,MATCH($C397,機種マスタ!$B$4:$B$363,0))),0)))</f>
        <v/>
      </c>
      <c r="H397" s="30">
        <f>IF($C397="","",IF($D397="",1,$D397))</f>
        <v/>
      </c>
      <c r="I397" s="30">
        <f>IF($C397="","",IF(G397&gt;0,(G397+IFERROR(VLOOKUP(F397,機種マスタ!$Q$4:$R$6,2,FALSE),0))*H397,0))</f>
        <v/>
      </c>
    </row>
    <row r="398">
      <c r="A398" s="56" t="n"/>
      <c r="B398" s="41" t="n"/>
      <c r="C398" s="40" t="n"/>
      <c r="D398" s="41" t="n"/>
      <c r="E398" s="30">
        <f>IF($C398="","",IF($B398="YM",IFERROR(INDEX(機種マスタ!$I$4:$I$203,MATCH($C398,機種マスタ!$J$4:$J$203,0)),"未登録"),IFERROR(INDEX(機種マスタ!$A$4:$A$363,MATCH($C398,機種マスタ!$B$4:$B$363,0)),"未登録")))</f>
        <v/>
      </c>
      <c r="F398" s="30">
        <f>IF($C398="","",IF($B398="YM",IFERROR(INDEX(機種マスタ!$K$4:$K$203,MATCH($C398,機種マスタ!$J$4:$J$203,0)),"-"),IFERROR(INDEX(機種マスタ!$C$4:$C$363,MATCH($C398,機種マスタ!$B$4:$B$363,0)),"-")))</f>
        <v/>
      </c>
      <c r="G398" s="30">
        <f>IF($C398="","",IF($B398="YM",IFERROR(N(INDEX(機種マスタ!$L$4:$L$203,MATCH($C398,機種マスタ!$J$4:$J$203,0))),0),IFERROR(N(INDEX(機種マスタ!$D$4:$D$363,MATCH($C398,機種マスタ!$B$4:$B$363,0))),0)))</f>
        <v/>
      </c>
      <c r="H398" s="30">
        <f>IF($C398="","",IF($D398="",1,$D398))</f>
        <v/>
      </c>
      <c r="I398" s="30">
        <f>IF($C398="","",IF(G398&gt;0,(G398+IFERROR(VLOOKUP(F398,機種マスタ!$Q$4:$R$6,2,FALSE),0))*H398,0))</f>
        <v/>
      </c>
    </row>
    <row r="399">
      <c r="A399" s="56" t="n"/>
      <c r="B399" s="41" t="n"/>
      <c r="C399" s="40" t="n"/>
      <c r="D399" s="41" t="n"/>
      <c r="E399" s="30">
        <f>IF($C399="","",IF($B399="YM",IFERROR(INDEX(機種マスタ!$I$4:$I$203,MATCH($C399,機種マスタ!$J$4:$J$203,0)),"未登録"),IFERROR(INDEX(機種マスタ!$A$4:$A$363,MATCH($C399,機種マスタ!$B$4:$B$363,0)),"未登録")))</f>
        <v/>
      </c>
      <c r="F399" s="30">
        <f>IF($C399="","",IF($B399="YM",IFERROR(INDEX(機種マスタ!$K$4:$K$203,MATCH($C399,機種マスタ!$J$4:$J$203,0)),"-"),IFERROR(INDEX(機種マスタ!$C$4:$C$363,MATCH($C399,機種マスタ!$B$4:$B$363,0)),"-")))</f>
        <v/>
      </c>
      <c r="G399" s="30">
        <f>IF($C399="","",IF($B399="YM",IFERROR(N(INDEX(機種マスタ!$L$4:$L$203,MATCH($C399,機種マスタ!$J$4:$J$203,0))),0),IFERROR(N(INDEX(機種マスタ!$D$4:$D$363,MATCH($C399,機種マスタ!$B$4:$B$363,0))),0)))</f>
        <v/>
      </c>
      <c r="H399" s="30">
        <f>IF($C399="","",IF($D399="",1,$D399))</f>
        <v/>
      </c>
      <c r="I399" s="30">
        <f>IF($C399="","",IF(G399&gt;0,(G399+IFERROR(VLOOKUP(F399,機種マスタ!$Q$4:$R$6,2,FALSE),0))*H399,0))</f>
        <v/>
      </c>
    </row>
    <row r="400">
      <c r="A400" s="56" t="n"/>
      <c r="B400" s="41" t="n"/>
      <c r="C400" s="40" t="n"/>
      <c r="D400" s="41" t="n"/>
      <c r="E400" s="30">
        <f>IF($C400="","",IF($B400="YM",IFERROR(INDEX(機種マスタ!$I$4:$I$203,MATCH($C400,機種マスタ!$J$4:$J$203,0)),"未登録"),IFERROR(INDEX(機種マスタ!$A$4:$A$363,MATCH($C400,機種マスタ!$B$4:$B$363,0)),"未登録")))</f>
        <v/>
      </c>
      <c r="F400" s="30">
        <f>IF($C400="","",IF($B400="YM",IFERROR(INDEX(機種マスタ!$K$4:$K$203,MATCH($C400,機種マスタ!$J$4:$J$203,0)),"-"),IFERROR(INDEX(機種マスタ!$C$4:$C$363,MATCH($C400,機種マスタ!$B$4:$B$363,0)),"-")))</f>
        <v/>
      </c>
      <c r="G400" s="30">
        <f>IF($C400="","",IF($B400="YM",IFERROR(N(INDEX(機種マスタ!$L$4:$L$203,MATCH($C400,機種マスタ!$J$4:$J$203,0))),0),IFERROR(N(INDEX(機種マスタ!$D$4:$D$363,MATCH($C400,機種マスタ!$B$4:$B$363,0))),0)))</f>
        <v/>
      </c>
      <c r="H400" s="30">
        <f>IF($C400="","",IF($D400="",1,$D400))</f>
        <v/>
      </c>
      <c r="I400" s="30">
        <f>IF($C400="","",IF(G400&gt;0,(G400+IFERROR(VLOOKUP(F400,機種マスタ!$Q$4:$R$6,2,FALSE),0))*H400,0))</f>
        <v/>
      </c>
    </row>
    <row r="401">
      <c r="A401" s="56" t="n"/>
      <c r="B401" s="41" t="n"/>
      <c r="C401" s="40" t="n"/>
      <c r="D401" s="41" t="n"/>
      <c r="E401" s="30">
        <f>IF($C401="","",IF($B401="YM",IFERROR(INDEX(機種マスタ!$I$4:$I$203,MATCH($C401,機種マスタ!$J$4:$J$203,0)),"未登録"),IFERROR(INDEX(機種マスタ!$A$4:$A$363,MATCH($C401,機種マスタ!$B$4:$B$363,0)),"未登録")))</f>
        <v/>
      </c>
      <c r="F401" s="30">
        <f>IF($C401="","",IF($B401="YM",IFERROR(INDEX(機種マスタ!$K$4:$K$203,MATCH($C401,機種マスタ!$J$4:$J$203,0)),"-"),IFERROR(INDEX(機種マスタ!$C$4:$C$363,MATCH($C401,機種マスタ!$B$4:$B$363,0)),"-")))</f>
        <v/>
      </c>
      <c r="G401" s="30">
        <f>IF($C401="","",IF($B401="YM",IFERROR(N(INDEX(機種マスタ!$L$4:$L$203,MATCH($C401,機種マスタ!$J$4:$J$203,0))),0),IFERROR(N(INDEX(機種マスタ!$D$4:$D$363,MATCH($C401,機種マスタ!$B$4:$B$363,0))),0)))</f>
        <v/>
      </c>
      <c r="H401" s="30">
        <f>IF($C401="","",IF($D401="",1,$D401))</f>
        <v/>
      </c>
      <c r="I401" s="30">
        <f>IF($C401="","",IF(G401&gt;0,(G401+IFERROR(VLOOKUP(F401,機種マスタ!$Q$4:$R$6,2,FALSE),0))*H401,0))</f>
        <v/>
      </c>
    </row>
    <row r="402">
      <c r="A402" s="56" t="n"/>
      <c r="B402" s="41" t="n"/>
      <c r="C402" s="40" t="n"/>
      <c r="D402" s="41" t="n"/>
      <c r="E402" s="30">
        <f>IF($C402="","",IF($B402="YM",IFERROR(INDEX(機種マスタ!$I$4:$I$203,MATCH($C402,機種マスタ!$J$4:$J$203,0)),"未登録"),IFERROR(INDEX(機種マスタ!$A$4:$A$363,MATCH($C402,機種マスタ!$B$4:$B$363,0)),"未登録")))</f>
        <v/>
      </c>
      <c r="F402" s="30">
        <f>IF($C402="","",IF($B402="YM",IFERROR(INDEX(機種マスタ!$K$4:$K$203,MATCH($C402,機種マスタ!$J$4:$J$203,0)),"-"),IFERROR(INDEX(機種マスタ!$C$4:$C$363,MATCH($C402,機種マスタ!$B$4:$B$363,0)),"-")))</f>
        <v/>
      </c>
      <c r="G402" s="30">
        <f>IF($C402="","",IF($B402="YM",IFERROR(N(INDEX(機種マスタ!$L$4:$L$203,MATCH($C402,機種マスタ!$J$4:$J$203,0))),0),IFERROR(N(INDEX(機種マスタ!$D$4:$D$363,MATCH($C402,機種マスタ!$B$4:$B$363,0))),0)))</f>
        <v/>
      </c>
      <c r="H402" s="30">
        <f>IF($C402="","",IF($D402="",1,$D402))</f>
        <v/>
      </c>
      <c r="I402" s="30">
        <f>IF($C402="","",IF(G402&gt;0,(G402+IFERROR(VLOOKUP(F402,機種マスタ!$Q$4:$R$6,2,FALSE),0))*H402,0))</f>
        <v/>
      </c>
    </row>
    <row r="403">
      <c r="A403" s="56" t="n"/>
      <c r="B403" s="41" t="n"/>
      <c r="C403" s="40" t="n"/>
      <c r="D403" s="41" t="n"/>
      <c r="E403" s="30">
        <f>IF($C403="","",IF($B403="YM",IFERROR(INDEX(機種マスタ!$I$4:$I$203,MATCH($C403,機種マスタ!$J$4:$J$203,0)),"未登録"),IFERROR(INDEX(機種マスタ!$A$4:$A$363,MATCH($C403,機種マスタ!$B$4:$B$363,0)),"未登録")))</f>
        <v/>
      </c>
      <c r="F403" s="30">
        <f>IF($C403="","",IF($B403="YM",IFERROR(INDEX(機種マスタ!$K$4:$K$203,MATCH($C403,機種マスタ!$J$4:$J$203,0)),"-"),IFERROR(INDEX(機種マスタ!$C$4:$C$363,MATCH($C403,機種マスタ!$B$4:$B$363,0)),"-")))</f>
        <v/>
      </c>
      <c r="G403" s="30">
        <f>IF($C403="","",IF($B403="YM",IFERROR(N(INDEX(機種マスタ!$L$4:$L$203,MATCH($C403,機種マスタ!$J$4:$J$203,0))),0),IFERROR(N(INDEX(機種マスタ!$D$4:$D$363,MATCH($C403,機種マスタ!$B$4:$B$363,0))),0)))</f>
        <v/>
      </c>
      <c r="H403" s="30">
        <f>IF($C403="","",IF($D403="",1,$D403))</f>
        <v/>
      </c>
      <c r="I403" s="30">
        <f>IF($C403="","",IF(G403&gt;0,(G403+IFERROR(VLOOKUP(F403,機種マスタ!$Q$4:$R$6,2,FALSE),0))*H403,0))</f>
        <v/>
      </c>
    </row>
    <row r="404">
      <c r="A404" s="56" t="n"/>
      <c r="B404" s="41" t="n"/>
      <c r="C404" s="40" t="n"/>
      <c r="D404" s="41" t="n"/>
      <c r="E404" s="30">
        <f>IF($C404="","",IF($B404="YM",IFERROR(INDEX(機種マスタ!$I$4:$I$203,MATCH($C404,機種マスタ!$J$4:$J$203,0)),"未登録"),IFERROR(INDEX(機種マスタ!$A$4:$A$363,MATCH($C404,機種マスタ!$B$4:$B$363,0)),"未登録")))</f>
        <v/>
      </c>
      <c r="F404" s="30">
        <f>IF($C404="","",IF($B404="YM",IFERROR(INDEX(機種マスタ!$K$4:$K$203,MATCH($C404,機種マスタ!$J$4:$J$203,0)),"-"),IFERROR(INDEX(機種マスタ!$C$4:$C$363,MATCH($C404,機種マスタ!$B$4:$B$363,0)),"-")))</f>
        <v/>
      </c>
      <c r="G404" s="30">
        <f>IF($C404="","",IF($B404="YM",IFERROR(N(INDEX(機種マスタ!$L$4:$L$203,MATCH($C404,機種マスタ!$J$4:$J$203,0))),0),IFERROR(N(INDEX(機種マスタ!$D$4:$D$363,MATCH($C404,機種マスタ!$B$4:$B$363,0))),0)))</f>
        <v/>
      </c>
      <c r="H404" s="30">
        <f>IF($C404="","",IF($D404="",1,$D404))</f>
        <v/>
      </c>
      <c r="I404" s="30">
        <f>IF($C404="","",IF(G404&gt;0,(G404+IFERROR(VLOOKUP(F404,機種マスタ!$Q$4:$R$6,2,FALSE),0))*H404,0))</f>
        <v/>
      </c>
    </row>
    <row r="405">
      <c r="A405" s="56" t="n"/>
      <c r="B405" s="41" t="n"/>
      <c r="C405" s="40" t="n"/>
      <c r="D405" s="41" t="n"/>
      <c r="E405" s="30">
        <f>IF($C405="","",IF($B405="YM",IFERROR(INDEX(機種マスタ!$I$4:$I$203,MATCH($C405,機種マスタ!$J$4:$J$203,0)),"未登録"),IFERROR(INDEX(機種マスタ!$A$4:$A$363,MATCH($C405,機種マスタ!$B$4:$B$363,0)),"未登録")))</f>
        <v/>
      </c>
      <c r="F405" s="30">
        <f>IF($C405="","",IF($B405="YM",IFERROR(INDEX(機種マスタ!$K$4:$K$203,MATCH($C405,機種マスタ!$J$4:$J$203,0)),"-"),IFERROR(INDEX(機種マスタ!$C$4:$C$363,MATCH($C405,機種マスタ!$B$4:$B$363,0)),"-")))</f>
        <v/>
      </c>
      <c r="G405" s="30">
        <f>IF($C405="","",IF($B405="YM",IFERROR(N(INDEX(機種マスタ!$L$4:$L$203,MATCH($C405,機種マスタ!$J$4:$J$203,0))),0),IFERROR(N(INDEX(機種マスタ!$D$4:$D$363,MATCH($C405,機種マスタ!$B$4:$B$363,0))),0)))</f>
        <v/>
      </c>
      <c r="H405" s="30">
        <f>IF($C405="","",IF($D405="",1,$D405))</f>
        <v/>
      </c>
      <c r="I405" s="30">
        <f>IF($C405="","",IF(G405&gt;0,(G405+IFERROR(VLOOKUP(F405,機種マスタ!$Q$4:$R$6,2,FALSE),0))*H405,0))</f>
        <v/>
      </c>
    </row>
    <row r="406">
      <c r="A406" s="56" t="n"/>
      <c r="B406" s="41" t="n"/>
      <c r="C406" s="40" t="n"/>
      <c r="D406" s="41" t="n"/>
      <c r="E406" s="30">
        <f>IF($C406="","",IF($B406="YM",IFERROR(INDEX(機種マスタ!$I$4:$I$203,MATCH($C406,機種マスタ!$J$4:$J$203,0)),"未登録"),IFERROR(INDEX(機種マスタ!$A$4:$A$363,MATCH($C406,機種マスタ!$B$4:$B$363,0)),"未登録")))</f>
        <v/>
      </c>
      <c r="F406" s="30">
        <f>IF($C406="","",IF($B406="YM",IFERROR(INDEX(機種マスタ!$K$4:$K$203,MATCH($C406,機種マスタ!$J$4:$J$203,0)),"-"),IFERROR(INDEX(機種マスタ!$C$4:$C$363,MATCH($C406,機種マスタ!$B$4:$B$363,0)),"-")))</f>
        <v/>
      </c>
      <c r="G406" s="30">
        <f>IF($C406="","",IF($B406="YM",IFERROR(N(INDEX(機種マスタ!$L$4:$L$203,MATCH($C406,機種マスタ!$J$4:$J$203,0))),0),IFERROR(N(INDEX(機種マスタ!$D$4:$D$363,MATCH($C406,機種マスタ!$B$4:$B$363,0))),0)))</f>
        <v/>
      </c>
      <c r="H406" s="30">
        <f>IF($C406="","",IF($D406="",1,$D406))</f>
        <v/>
      </c>
      <c r="I406" s="30">
        <f>IF($C406="","",IF(G406&gt;0,(G406+IFERROR(VLOOKUP(F406,機種マスタ!$Q$4:$R$6,2,FALSE),0))*H406,0))</f>
        <v/>
      </c>
    </row>
    <row r="407">
      <c r="A407" s="56" t="n"/>
      <c r="B407" s="41" t="n"/>
      <c r="C407" s="40" t="n"/>
      <c r="D407" s="41" t="n"/>
      <c r="E407" s="30">
        <f>IF($C407="","",IF($B407="YM",IFERROR(INDEX(機種マスタ!$I$4:$I$203,MATCH($C407,機種マスタ!$J$4:$J$203,0)),"未登録"),IFERROR(INDEX(機種マスタ!$A$4:$A$363,MATCH($C407,機種マスタ!$B$4:$B$363,0)),"未登録")))</f>
        <v/>
      </c>
      <c r="F407" s="30">
        <f>IF($C407="","",IF($B407="YM",IFERROR(INDEX(機種マスタ!$K$4:$K$203,MATCH($C407,機種マスタ!$J$4:$J$203,0)),"-"),IFERROR(INDEX(機種マスタ!$C$4:$C$363,MATCH($C407,機種マスタ!$B$4:$B$363,0)),"-")))</f>
        <v/>
      </c>
      <c r="G407" s="30">
        <f>IF($C407="","",IF($B407="YM",IFERROR(N(INDEX(機種マスタ!$L$4:$L$203,MATCH($C407,機種マスタ!$J$4:$J$203,0))),0),IFERROR(N(INDEX(機種マスタ!$D$4:$D$363,MATCH($C407,機種マスタ!$B$4:$B$363,0))),0)))</f>
        <v/>
      </c>
      <c r="H407" s="30">
        <f>IF($C407="","",IF($D407="",1,$D407))</f>
        <v/>
      </c>
      <c r="I407" s="30">
        <f>IF($C407="","",IF(G407&gt;0,(G407+IFERROR(VLOOKUP(F407,機種マスタ!$Q$4:$R$6,2,FALSE),0))*H407,0))</f>
        <v/>
      </c>
    </row>
    <row r="408">
      <c r="A408" s="56" t="n"/>
      <c r="B408" s="41" t="n"/>
      <c r="C408" s="40" t="n"/>
      <c r="D408" s="41" t="n"/>
      <c r="E408" s="30">
        <f>IF($C408="","",IF($B408="YM",IFERROR(INDEX(機種マスタ!$I$4:$I$203,MATCH($C408,機種マスタ!$J$4:$J$203,0)),"未登録"),IFERROR(INDEX(機種マスタ!$A$4:$A$363,MATCH($C408,機種マスタ!$B$4:$B$363,0)),"未登録")))</f>
        <v/>
      </c>
      <c r="F408" s="30">
        <f>IF($C408="","",IF($B408="YM",IFERROR(INDEX(機種マスタ!$K$4:$K$203,MATCH($C408,機種マスタ!$J$4:$J$203,0)),"-"),IFERROR(INDEX(機種マスタ!$C$4:$C$363,MATCH($C408,機種マスタ!$B$4:$B$363,0)),"-")))</f>
        <v/>
      </c>
      <c r="G408" s="30">
        <f>IF($C408="","",IF($B408="YM",IFERROR(N(INDEX(機種マスタ!$L$4:$L$203,MATCH($C408,機種マスタ!$J$4:$J$203,0))),0),IFERROR(N(INDEX(機種マスタ!$D$4:$D$363,MATCH($C408,機種マスタ!$B$4:$B$363,0))),0)))</f>
        <v/>
      </c>
      <c r="H408" s="30">
        <f>IF($C408="","",IF($D408="",1,$D408))</f>
        <v/>
      </c>
      <c r="I408" s="30">
        <f>IF($C408="","",IF(G408&gt;0,(G408+IFERROR(VLOOKUP(F408,機種マスタ!$Q$4:$R$6,2,FALSE),0))*H408,0))</f>
        <v/>
      </c>
    </row>
    <row r="409">
      <c r="A409" s="56" t="n"/>
      <c r="B409" s="41" t="n"/>
      <c r="C409" s="40" t="n"/>
      <c r="D409" s="41" t="n"/>
      <c r="E409" s="30">
        <f>IF($C409="","",IF($B409="YM",IFERROR(INDEX(機種マスタ!$I$4:$I$203,MATCH($C409,機種マスタ!$J$4:$J$203,0)),"未登録"),IFERROR(INDEX(機種マスタ!$A$4:$A$363,MATCH($C409,機種マスタ!$B$4:$B$363,0)),"未登録")))</f>
        <v/>
      </c>
      <c r="F409" s="30">
        <f>IF($C409="","",IF($B409="YM",IFERROR(INDEX(機種マスタ!$K$4:$K$203,MATCH($C409,機種マスタ!$J$4:$J$203,0)),"-"),IFERROR(INDEX(機種マスタ!$C$4:$C$363,MATCH($C409,機種マスタ!$B$4:$B$363,0)),"-")))</f>
        <v/>
      </c>
      <c r="G409" s="30">
        <f>IF($C409="","",IF($B409="YM",IFERROR(N(INDEX(機種マスタ!$L$4:$L$203,MATCH($C409,機種マスタ!$J$4:$J$203,0))),0),IFERROR(N(INDEX(機種マスタ!$D$4:$D$363,MATCH($C409,機種マスタ!$B$4:$B$363,0))),0)))</f>
        <v/>
      </c>
      <c r="H409" s="30">
        <f>IF($C409="","",IF($D409="",1,$D409))</f>
        <v/>
      </c>
      <c r="I409" s="30">
        <f>IF($C409="","",IF(G409&gt;0,(G409+IFERROR(VLOOKUP(F409,機種マスタ!$Q$4:$R$6,2,FALSE),0))*H409,0))</f>
        <v/>
      </c>
    </row>
    <row r="410">
      <c r="A410" s="56" t="n"/>
      <c r="B410" s="41" t="n"/>
      <c r="C410" s="40" t="n"/>
      <c r="D410" s="41" t="n"/>
      <c r="E410" s="30">
        <f>IF($C410="","",IF($B410="YM",IFERROR(INDEX(機種マスタ!$I$4:$I$203,MATCH($C410,機種マスタ!$J$4:$J$203,0)),"未登録"),IFERROR(INDEX(機種マスタ!$A$4:$A$363,MATCH($C410,機種マスタ!$B$4:$B$363,0)),"未登録")))</f>
        <v/>
      </c>
      <c r="F410" s="30">
        <f>IF($C410="","",IF($B410="YM",IFERROR(INDEX(機種マスタ!$K$4:$K$203,MATCH($C410,機種マスタ!$J$4:$J$203,0)),"-"),IFERROR(INDEX(機種マスタ!$C$4:$C$363,MATCH($C410,機種マスタ!$B$4:$B$363,0)),"-")))</f>
        <v/>
      </c>
      <c r="G410" s="30">
        <f>IF($C410="","",IF($B410="YM",IFERROR(N(INDEX(機種マスタ!$L$4:$L$203,MATCH($C410,機種マスタ!$J$4:$J$203,0))),0),IFERROR(N(INDEX(機種マスタ!$D$4:$D$363,MATCH($C410,機種マスタ!$B$4:$B$363,0))),0)))</f>
        <v/>
      </c>
      <c r="H410" s="30">
        <f>IF($C410="","",IF($D410="",1,$D410))</f>
        <v/>
      </c>
      <c r="I410" s="30">
        <f>IF($C410="","",IF(G410&gt;0,(G410+IFERROR(VLOOKUP(F410,機種マスタ!$Q$4:$R$6,2,FALSE),0))*H410,0))</f>
        <v/>
      </c>
    </row>
    <row r="411">
      <c r="A411" s="56" t="n"/>
      <c r="B411" s="41" t="n"/>
      <c r="C411" s="40" t="n"/>
      <c r="D411" s="41" t="n"/>
      <c r="E411" s="30">
        <f>IF($C411="","",IF($B411="YM",IFERROR(INDEX(機種マスタ!$I$4:$I$203,MATCH($C411,機種マスタ!$J$4:$J$203,0)),"未登録"),IFERROR(INDEX(機種マスタ!$A$4:$A$363,MATCH($C411,機種マスタ!$B$4:$B$363,0)),"未登録")))</f>
        <v/>
      </c>
      <c r="F411" s="30">
        <f>IF($C411="","",IF($B411="YM",IFERROR(INDEX(機種マスタ!$K$4:$K$203,MATCH($C411,機種マスタ!$J$4:$J$203,0)),"-"),IFERROR(INDEX(機種マスタ!$C$4:$C$363,MATCH($C411,機種マスタ!$B$4:$B$363,0)),"-")))</f>
        <v/>
      </c>
      <c r="G411" s="30">
        <f>IF($C411="","",IF($B411="YM",IFERROR(N(INDEX(機種マスタ!$L$4:$L$203,MATCH($C411,機種マスタ!$J$4:$J$203,0))),0),IFERROR(N(INDEX(機種マスタ!$D$4:$D$363,MATCH($C411,機種マスタ!$B$4:$B$363,0))),0)))</f>
        <v/>
      </c>
      <c r="H411" s="30">
        <f>IF($C411="","",IF($D411="",1,$D411))</f>
        <v/>
      </c>
      <c r="I411" s="30">
        <f>IF($C411="","",IF(G411&gt;0,(G411+IFERROR(VLOOKUP(F411,機種マスタ!$Q$4:$R$6,2,FALSE),0))*H411,0))</f>
        <v/>
      </c>
    </row>
    <row r="412">
      <c r="A412" s="56" t="n"/>
      <c r="B412" s="41" t="n"/>
      <c r="C412" s="40" t="n"/>
      <c r="D412" s="41" t="n"/>
      <c r="E412" s="30">
        <f>IF($C412="","",IF($B412="YM",IFERROR(INDEX(機種マスタ!$I$4:$I$203,MATCH($C412,機種マスタ!$J$4:$J$203,0)),"未登録"),IFERROR(INDEX(機種マスタ!$A$4:$A$363,MATCH($C412,機種マスタ!$B$4:$B$363,0)),"未登録")))</f>
        <v/>
      </c>
      <c r="F412" s="30">
        <f>IF($C412="","",IF($B412="YM",IFERROR(INDEX(機種マスタ!$K$4:$K$203,MATCH($C412,機種マスタ!$J$4:$J$203,0)),"-"),IFERROR(INDEX(機種マスタ!$C$4:$C$363,MATCH($C412,機種マスタ!$B$4:$B$363,0)),"-")))</f>
        <v/>
      </c>
      <c r="G412" s="30">
        <f>IF($C412="","",IF($B412="YM",IFERROR(N(INDEX(機種マスタ!$L$4:$L$203,MATCH($C412,機種マスタ!$J$4:$J$203,0))),0),IFERROR(N(INDEX(機種マスタ!$D$4:$D$363,MATCH($C412,機種マスタ!$B$4:$B$363,0))),0)))</f>
        <v/>
      </c>
      <c r="H412" s="30">
        <f>IF($C412="","",IF($D412="",1,$D412))</f>
        <v/>
      </c>
      <c r="I412" s="30">
        <f>IF($C412="","",IF(G412&gt;0,(G412+IFERROR(VLOOKUP(F412,機種マスタ!$Q$4:$R$6,2,FALSE),0))*H412,0))</f>
        <v/>
      </c>
    </row>
    <row r="413">
      <c r="A413" s="56" t="n"/>
      <c r="B413" s="41" t="n"/>
      <c r="C413" s="40" t="n"/>
      <c r="D413" s="41" t="n"/>
      <c r="E413" s="30">
        <f>IF($C413="","",IF($B413="YM",IFERROR(INDEX(機種マスタ!$I$4:$I$203,MATCH($C413,機種マスタ!$J$4:$J$203,0)),"未登録"),IFERROR(INDEX(機種マスタ!$A$4:$A$363,MATCH($C413,機種マスタ!$B$4:$B$363,0)),"未登録")))</f>
        <v/>
      </c>
      <c r="F413" s="30">
        <f>IF($C413="","",IF($B413="YM",IFERROR(INDEX(機種マスタ!$K$4:$K$203,MATCH($C413,機種マスタ!$J$4:$J$203,0)),"-"),IFERROR(INDEX(機種マスタ!$C$4:$C$363,MATCH($C413,機種マスタ!$B$4:$B$363,0)),"-")))</f>
        <v/>
      </c>
      <c r="G413" s="30">
        <f>IF($C413="","",IF($B413="YM",IFERROR(N(INDEX(機種マスタ!$L$4:$L$203,MATCH($C413,機種マスタ!$J$4:$J$203,0))),0),IFERROR(N(INDEX(機種マスタ!$D$4:$D$363,MATCH($C413,機種マスタ!$B$4:$B$363,0))),0)))</f>
        <v/>
      </c>
      <c r="H413" s="30">
        <f>IF($C413="","",IF($D413="",1,$D413))</f>
        <v/>
      </c>
      <c r="I413" s="30">
        <f>IF($C413="","",IF(G413&gt;0,(G413+IFERROR(VLOOKUP(F413,機種マスタ!$Q$4:$R$6,2,FALSE),0))*H413,0))</f>
        <v/>
      </c>
    </row>
    <row r="414">
      <c r="A414" s="56" t="n"/>
      <c r="B414" s="41" t="n"/>
      <c r="C414" s="40" t="n"/>
      <c r="D414" s="41" t="n"/>
      <c r="E414" s="30">
        <f>IF($C414="","",IF($B414="YM",IFERROR(INDEX(機種マスタ!$I$4:$I$203,MATCH($C414,機種マスタ!$J$4:$J$203,0)),"未登録"),IFERROR(INDEX(機種マスタ!$A$4:$A$363,MATCH($C414,機種マスタ!$B$4:$B$363,0)),"未登録")))</f>
        <v/>
      </c>
      <c r="F414" s="30">
        <f>IF($C414="","",IF($B414="YM",IFERROR(INDEX(機種マスタ!$K$4:$K$203,MATCH($C414,機種マスタ!$J$4:$J$203,0)),"-"),IFERROR(INDEX(機種マスタ!$C$4:$C$363,MATCH($C414,機種マスタ!$B$4:$B$363,0)),"-")))</f>
        <v/>
      </c>
      <c r="G414" s="30">
        <f>IF($C414="","",IF($B414="YM",IFERROR(N(INDEX(機種マスタ!$L$4:$L$203,MATCH($C414,機種マスタ!$J$4:$J$203,0))),0),IFERROR(N(INDEX(機種マスタ!$D$4:$D$363,MATCH($C414,機種マスタ!$B$4:$B$363,0))),0)))</f>
        <v/>
      </c>
      <c r="H414" s="30">
        <f>IF($C414="","",IF($D414="",1,$D414))</f>
        <v/>
      </c>
      <c r="I414" s="30">
        <f>IF($C414="","",IF(G414&gt;0,(G414+IFERROR(VLOOKUP(F414,機種マスタ!$Q$4:$R$6,2,FALSE),0))*H414,0))</f>
        <v/>
      </c>
    </row>
    <row r="415">
      <c r="A415" s="56" t="n"/>
      <c r="B415" s="41" t="n"/>
      <c r="C415" s="40" t="n"/>
      <c r="D415" s="41" t="n"/>
      <c r="E415" s="30">
        <f>IF($C415="","",IF($B415="YM",IFERROR(INDEX(機種マスタ!$I$4:$I$203,MATCH($C415,機種マスタ!$J$4:$J$203,0)),"未登録"),IFERROR(INDEX(機種マスタ!$A$4:$A$363,MATCH($C415,機種マスタ!$B$4:$B$363,0)),"未登録")))</f>
        <v/>
      </c>
      <c r="F415" s="30">
        <f>IF($C415="","",IF($B415="YM",IFERROR(INDEX(機種マスタ!$K$4:$K$203,MATCH($C415,機種マスタ!$J$4:$J$203,0)),"-"),IFERROR(INDEX(機種マスタ!$C$4:$C$363,MATCH($C415,機種マスタ!$B$4:$B$363,0)),"-")))</f>
        <v/>
      </c>
      <c r="G415" s="30">
        <f>IF($C415="","",IF($B415="YM",IFERROR(N(INDEX(機種マスタ!$L$4:$L$203,MATCH($C415,機種マスタ!$J$4:$J$203,0))),0),IFERROR(N(INDEX(機種マスタ!$D$4:$D$363,MATCH($C415,機種マスタ!$B$4:$B$363,0))),0)))</f>
        <v/>
      </c>
      <c r="H415" s="30">
        <f>IF($C415="","",IF($D415="",1,$D415))</f>
        <v/>
      </c>
      <c r="I415" s="30">
        <f>IF($C415="","",IF(G415&gt;0,(G415+IFERROR(VLOOKUP(F415,機種マスタ!$Q$4:$R$6,2,FALSE),0))*H415,0))</f>
        <v/>
      </c>
    </row>
    <row r="416">
      <c r="A416" s="56" t="n"/>
      <c r="B416" s="41" t="n"/>
      <c r="C416" s="40" t="n"/>
      <c r="D416" s="41" t="n"/>
      <c r="E416" s="30">
        <f>IF($C416="","",IF($B416="YM",IFERROR(INDEX(機種マスタ!$I$4:$I$203,MATCH($C416,機種マスタ!$J$4:$J$203,0)),"未登録"),IFERROR(INDEX(機種マスタ!$A$4:$A$363,MATCH($C416,機種マスタ!$B$4:$B$363,0)),"未登録")))</f>
        <v/>
      </c>
      <c r="F416" s="30">
        <f>IF($C416="","",IF($B416="YM",IFERROR(INDEX(機種マスタ!$K$4:$K$203,MATCH($C416,機種マスタ!$J$4:$J$203,0)),"-"),IFERROR(INDEX(機種マスタ!$C$4:$C$363,MATCH($C416,機種マスタ!$B$4:$B$363,0)),"-")))</f>
        <v/>
      </c>
      <c r="G416" s="30">
        <f>IF($C416="","",IF($B416="YM",IFERROR(N(INDEX(機種マスタ!$L$4:$L$203,MATCH($C416,機種マスタ!$J$4:$J$203,0))),0),IFERROR(N(INDEX(機種マスタ!$D$4:$D$363,MATCH($C416,機種マスタ!$B$4:$B$363,0))),0)))</f>
        <v/>
      </c>
      <c r="H416" s="30">
        <f>IF($C416="","",IF($D416="",1,$D416))</f>
        <v/>
      </c>
      <c r="I416" s="30">
        <f>IF($C416="","",IF(G416&gt;0,(G416+IFERROR(VLOOKUP(F416,機種マスタ!$Q$4:$R$6,2,FALSE),0))*H416,0))</f>
        <v/>
      </c>
    </row>
    <row r="417">
      <c r="A417" s="56" t="n"/>
      <c r="B417" s="41" t="n"/>
      <c r="C417" s="40" t="n"/>
      <c r="D417" s="41" t="n"/>
      <c r="E417" s="30">
        <f>IF($C417="","",IF($B417="YM",IFERROR(INDEX(機種マスタ!$I$4:$I$203,MATCH($C417,機種マスタ!$J$4:$J$203,0)),"未登録"),IFERROR(INDEX(機種マスタ!$A$4:$A$363,MATCH($C417,機種マスタ!$B$4:$B$363,0)),"未登録")))</f>
        <v/>
      </c>
      <c r="F417" s="30">
        <f>IF($C417="","",IF($B417="YM",IFERROR(INDEX(機種マスタ!$K$4:$K$203,MATCH($C417,機種マスタ!$J$4:$J$203,0)),"-"),IFERROR(INDEX(機種マスタ!$C$4:$C$363,MATCH($C417,機種マスタ!$B$4:$B$363,0)),"-")))</f>
        <v/>
      </c>
      <c r="G417" s="30">
        <f>IF($C417="","",IF($B417="YM",IFERROR(N(INDEX(機種マスタ!$L$4:$L$203,MATCH($C417,機種マスタ!$J$4:$J$203,0))),0),IFERROR(N(INDEX(機種マスタ!$D$4:$D$363,MATCH($C417,機種マスタ!$B$4:$B$363,0))),0)))</f>
        <v/>
      </c>
      <c r="H417" s="30">
        <f>IF($C417="","",IF($D417="",1,$D417))</f>
        <v/>
      </c>
      <c r="I417" s="30">
        <f>IF($C417="","",IF(G417&gt;0,(G417+IFERROR(VLOOKUP(F417,機種マスタ!$Q$4:$R$6,2,FALSE),0))*H417,0))</f>
        <v/>
      </c>
    </row>
    <row r="418">
      <c r="A418" s="56" t="n"/>
      <c r="B418" s="41" t="n"/>
      <c r="C418" s="40" t="n"/>
      <c r="D418" s="41" t="n"/>
      <c r="E418" s="30">
        <f>IF($C418="","",IF($B418="YM",IFERROR(INDEX(機種マスタ!$I$4:$I$203,MATCH($C418,機種マスタ!$J$4:$J$203,0)),"未登録"),IFERROR(INDEX(機種マスタ!$A$4:$A$363,MATCH($C418,機種マスタ!$B$4:$B$363,0)),"未登録")))</f>
        <v/>
      </c>
      <c r="F418" s="30">
        <f>IF($C418="","",IF($B418="YM",IFERROR(INDEX(機種マスタ!$K$4:$K$203,MATCH($C418,機種マスタ!$J$4:$J$203,0)),"-"),IFERROR(INDEX(機種マスタ!$C$4:$C$363,MATCH($C418,機種マスタ!$B$4:$B$363,0)),"-")))</f>
        <v/>
      </c>
      <c r="G418" s="30">
        <f>IF($C418="","",IF($B418="YM",IFERROR(N(INDEX(機種マスタ!$L$4:$L$203,MATCH($C418,機種マスタ!$J$4:$J$203,0))),0),IFERROR(N(INDEX(機種マスタ!$D$4:$D$363,MATCH($C418,機種マスタ!$B$4:$B$363,0))),0)))</f>
        <v/>
      </c>
      <c r="H418" s="30">
        <f>IF($C418="","",IF($D418="",1,$D418))</f>
        <v/>
      </c>
      <c r="I418" s="30">
        <f>IF($C418="","",IF(G418&gt;0,(G418+IFERROR(VLOOKUP(F418,機種マスタ!$Q$4:$R$6,2,FALSE),0))*H418,0))</f>
        <v/>
      </c>
    </row>
    <row r="419">
      <c r="A419" s="56" t="n"/>
      <c r="B419" s="41" t="n"/>
      <c r="C419" s="40" t="n"/>
      <c r="D419" s="41" t="n"/>
      <c r="E419" s="30">
        <f>IF($C419="","",IF($B419="YM",IFERROR(INDEX(機種マスタ!$I$4:$I$203,MATCH($C419,機種マスタ!$J$4:$J$203,0)),"未登録"),IFERROR(INDEX(機種マスタ!$A$4:$A$363,MATCH($C419,機種マスタ!$B$4:$B$363,0)),"未登録")))</f>
        <v/>
      </c>
      <c r="F419" s="30">
        <f>IF($C419="","",IF($B419="YM",IFERROR(INDEX(機種マスタ!$K$4:$K$203,MATCH($C419,機種マスタ!$J$4:$J$203,0)),"-"),IFERROR(INDEX(機種マスタ!$C$4:$C$363,MATCH($C419,機種マスタ!$B$4:$B$363,0)),"-")))</f>
        <v/>
      </c>
      <c r="G419" s="30">
        <f>IF($C419="","",IF($B419="YM",IFERROR(N(INDEX(機種マスタ!$L$4:$L$203,MATCH($C419,機種マスタ!$J$4:$J$203,0))),0),IFERROR(N(INDEX(機種マスタ!$D$4:$D$363,MATCH($C419,機種マスタ!$B$4:$B$363,0))),0)))</f>
        <v/>
      </c>
      <c r="H419" s="30">
        <f>IF($C419="","",IF($D419="",1,$D419))</f>
        <v/>
      </c>
      <c r="I419" s="30">
        <f>IF($C419="","",IF(G419&gt;0,(G419+IFERROR(VLOOKUP(F419,機種マスタ!$Q$4:$R$6,2,FALSE),0))*H419,0))</f>
        <v/>
      </c>
    </row>
    <row r="420">
      <c r="A420" s="56" t="n"/>
      <c r="B420" s="41" t="n"/>
      <c r="C420" s="40" t="n"/>
      <c r="D420" s="41" t="n"/>
      <c r="E420" s="30">
        <f>IF($C420="","",IF($B420="YM",IFERROR(INDEX(機種マスタ!$I$4:$I$203,MATCH($C420,機種マスタ!$J$4:$J$203,0)),"未登録"),IFERROR(INDEX(機種マスタ!$A$4:$A$363,MATCH($C420,機種マスタ!$B$4:$B$363,0)),"未登録")))</f>
        <v/>
      </c>
      <c r="F420" s="30">
        <f>IF($C420="","",IF($B420="YM",IFERROR(INDEX(機種マスタ!$K$4:$K$203,MATCH($C420,機種マスタ!$J$4:$J$203,0)),"-"),IFERROR(INDEX(機種マスタ!$C$4:$C$363,MATCH($C420,機種マスタ!$B$4:$B$363,0)),"-")))</f>
        <v/>
      </c>
      <c r="G420" s="30">
        <f>IF($C420="","",IF($B420="YM",IFERROR(N(INDEX(機種マスタ!$L$4:$L$203,MATCH($C420,機種マスタ!$J$4:$J$203,0))),0),IFERROR(N(INDEX(機種マスタ!$D$4:$D$363,MATCH($C420,機種マスタ!$B$4:$B$363,0))),0)))</f>
        <v/>
      </c>
      <c r="H420" s="30">
        <f>IF($C420="","",IF($D420="",1,$D420))</f>
        <v/>
      </c>
      <c r="I420" s="30">
        <f>IF($C420="","",IF(G420&gt;0,(G420+IFERROR(VLOOKUP(F420,機種マスタ!$Q$4:$R$6,2,FALSE),0))*H420,0))</f>
        <v/>
      </c>
    </row>
    <row r="421">
      <c r="A421" s="56" t="n"/>
      <c r="B421" s="41" t="n"/>
      <c r="C421" s="40" t="n"/>
      <c r="D421" s="41" t="n"/>
      <c r="E421" s="30">
        <f>IF($C421="","",IF($B421="YM",IFERROR(INDEX(機種マスタ!$I$4:$I$203,MATCH($C421,機種マスタ!$J$4:$J$203,0)),"未登録"),IFERROR(INDEX(機種マスタ!$A$4:$A$363,MATCH($C421,機種マスタ!$B$4:$B$363,0)),"未登録")))</f>
        <v/>
      </c>
      <c r="F421" s="30">
        <f>IF($C421="","",IF($B421="YM",IFERROR(INDEX(機種マスタ!$K$4:$K$203,MATCH($C421,機種マスタ!$J$4:$J$203,0)),"-"),IFERROR(INDEX(機種マスタ!$C$4:$C$363,MATCH($C421,機種マスタ!$B$4:$B$363,0)),"-")))</f>
        <v/>
      </c>
      <c r="G421" s="30">
        <f>IF($C421="","",IF($B421="YM",IFERROR(N(INDEX(機種マスタ!$L$4:$L$203,MATCH($C421,機種マスタ!$J$4:$J$203,0))),0),IFERROR(N(INDEX(機種マスタ!$D$4:$D$363,MATCH($C421,機種マスタ!$B$4:$B$363,0))),0)))</f>
        <v/>
      </c>
      <c r="H421" s="30">
        <f>IF($C421="","",IF($D421="",1,$D421))</f>
        <v/>
      </c>
      <c r="I421" s="30">
        <f>IF($C421="","",IF(G421&gt;0,(G421+IFERROR(VLOOKUP(F421,機種マスタ!$Q$4:$R$6,2,FALSE),0))*H421,0))</f>
        <v/>
      </c>
    </row>
    <row r="422">
      <c r="A422" s="56" t="n"/>
      <c r="B422" s="41" t="n"/>
      <c r="C422" s="40" t="n"/>
      <c r="D422" s="41" t="n"/>
      <c r="E422" s="30">
        <f>IF($C422="","",IF($B422="YM",IFERROR(INDEX(機種マスタ!$I$4:$I$203,MATCH($C422,機種マスタ!$J$4:$J$203,0)),"未登録"),IFERROR(INDEX(機種マスタ!$A$4:$A$363,MATCH($C422,機種マスタ!$B$4:$B$363,0)),"未登録")))</f>
        <v/>
      </c>
      <c r="F422" s="30">
        <f>IF($C422="","",IF($B422="YM",IFERROR(INDEX(機種マスタ!$K$4:$K$203,MATCH($C422,機種マスタ!$J$4:$J$203,0)),"-"),IFERROR(INDEX(機種マスタ!$C$4:$C$363,MATCH($C422,機種マスタ!$B$4:$B$363,0)),"-")))</f>
        <v/>
      </c>
      <c r="G422" s="30">
        <f>IF($C422="","",IF($B422="YM",IFERROR(N(INDEX(機種マスタ!$L$4:$L$203,MATCH($C422,機種マスタ!$J$4:$J$203,0))),0),IFERROR(N(INDEX(機種マスタ!$D$4:$D$363,MATCH($C422,機種マスタ!$B$4:$B$363,0))),0)))</f>
        <v/>
      </c>
      <c r="H422" s="30">
        <f>IF($C422="","",IF($D422="",1,$D422))</f>
        <v/>
      </c>
      <c r="I422" s="30">
        <f>IF($C422="","",IF(G422&gt;0,(G422+IFERROR(VLOOKUP(F422,機種マスタ!$Q$4:$R$6,2,FALSE),0))*H422,0))</f>
        <v/>
      </c>
    </row>
    <row r="423">
      <c r="A423" s="56" t="n"/>
      <c r="B423" s="41" t="n"/>
      <c r="C423" s="40" t="n"/>
      <c r="D423" s="41" t="n"/>
      <c r="E423" s="30">
        <f>IF($C423="","",IF($B423="YM",IFERROR(INDEX(機種マスタ!$I$4:$I$203,MATCH($C423,機種マスタ!$J$4:$J$203,0)),"未登録"),IFERROR(INDEX(機種マスタ!$A$4:$A$363,MATCH($C423,機種マスタ!$B$4:$B$363,0)),"未登録")))</f>
        <v/>
      </c>
      <c r="F423" s="30">
        <f>IF($C423="","",IF($B423="YM",IFERROR(INDEX(機種マスタ!$K$4:$K$203,MATCH($C423,機種マスタ!$J$4:$J$203,0)),"-"),IFERROR(INDEX(機種マスタ!$C$4:$C$363,MATCH($C423,機種マスタ!$B$4:$B$363,0)),"-")))</f>
        <v/>
      </c>
      <c r="G423" s="30">
        <f>IF($C423="","",IF($B423="YM",IFERROR(N(INDEX(機種マスタ!$L$4:$L$203,MATCH($C423,機種マスタ!$J$4:$J$203,0))),0),IFERROR(N(INDEX(機種マスタ!$D$4:$D$363,MATCH($C423,機種マスタ!$B$4:$B$363,0))),0)))</f>
        <v/>
      </c>
      <c r="H423" s="30">
        <f>IF($C423="","",IF($D423="",1,$D423))</f>
        <v/>
      </c>
      <c r="I423" s="30">
        <f>IF($C423="","",IF(G423&gt;0,(G423+IFERROR(VLOOKUP(F423,機種マスタ!$Q$4:$R$6,2,FALSE),0))*H423,0))</f>
        <v/>
      </c>
    </row>
    <row r="424">
      <c r="A424" s="56" t="n"/>
      <c r="B424" s="41" t="n"/>
      <c r="C424" s="40" t="n"/>
      <c r="D424" s="41" t="n"/>
      <c r="E424" s="30">
        <f>IF($C424="","",IF($B424="YM",IFERROR(INDEX(機種マスタ!$I$4:$I$203,MATCH($C424,機種マスタ!$J$4:$J$203,0)),"未登録"),IFERROR(INDEX(機種マスタ!$A$4:$A$363,MATCH($C424,機種マスタ!$B$4:$B$363,0)),"未登録")))</f>
        <v/>
      </c>
      <c r="F424" s="30">
        <f>IF($C424="","",IF($B424="YM",IFERROR(INDEX(機種マスタ!$K$4:$K$203,MATCH($C424,機種マスタ!$J$4:$J$203,0)),"-"),IFERROR(INDEX(機種マスタ!$C$4:$C$363,MATCH($C424,機種マスタ!$B$4:$B$363,0)),"-")))</f>
        <v/>
      </c>
      <c r="G424" s="30">
        <f>IF($C424="","",IF($B424="YM",IFERROR(N(INDEX(機種マスタ!$L$4:$L$203,MATCH($C424,機種マスタ!$J$4:$J$203,0))),0),IFERROR(N(INDEX(機種マスタ!$D$4:$D$363,MATCH($C424,機種マスタ!$B$4:$B$363,0))),0)))</f>
        <v/>
      </c>
      <c r="H424" s="30">
        <f>IF($C424="","",IF($D424="",1,$D424))</f>
        <v/>
      </c>
      <c r="I424" s="30">
        <f>IF($C424="","",IF(G424&gt;0,(G424+IFERROR(VLOOKUP(F424,機種マスタ!$Q$4:$R$6,2,FALSE),0))*H424,0))</f>
        <v/>
      </c>
    </row>
    <row r="425">
      <c r="A425" s="56" t="n"/>
      <c r="B425" s="41" t="n"/>
      <c r="C425" s="40" t="n"/>
      <c r="D425" s="41" t="n"/>
      <c r="E425" s="30">
        <f>IF($C425="","",IF($B425="YM",IFERROR(INDEX(機種マスタ!$I$4:$I$203,MATCH($C425,機種マスタ!$J$4:$J$203,0)),"未登録"),IFERROR(INDEX(機種マスタ!$A$4:$A$363,MATCH($C425,機種マスタ!$B$4:$B$363,0)),"未登録")))</f>
        <v/>
      </c>
      <c r="F425" s="30">
        <f>IF($C425="","",IF($B425="YM",IFERROR(INDEX(機種マスタ!$K$4:$K$203,MATCH($C425,機種マスタ!$J$4:$J$203,0)),"-"),IFERROR(INDEX(機種マスタ!$C$4:$C$363,MATCH($C425,機種マスタ!$B$4:$B$363,0)),"-")))</f>
        <v/>
      </c>
      <c r="G425" s="30">
        <f>IF($C425="","",IF($B425="YM",IFERROR(N(INDEX(機種マスタ!$L$4:$L$203,MATCH($C425,機種マスタ!$J$4:$J$203,0))),0),IFERROR(N(INDEX(機種マスタ!$D$4:$D$363,MATCH($C425,機種マスタ!$B$4:$B$363,0))),0)))</f>
        <v/>
      </c>
      <c r="H425" s="30">
        <f>IF($C425="","",IF($D425="",1,$D425))</f>
        <v/>
      </c>
      <c r="I425" s="30">
        <f>IF($C425="","",IF(G425&gt;0,(G425+IFERROR(VLOOKUP(F425,機種マスタ!$Q$4:$R$6,2,FALSE),0))*H425,0))</f>
        <v/>
      </c>
    </row>
    <row r="426">
      <c r="A426" s="56" t="n"/>
      <c r="B426" s="41" t="n"/>
      <c r="C426" s="40" t="n"/>
      <c r="D426" s="41" t="n"/>
      <c r="E426" s="30">
        <f>IF($C426="","",IF($B426="YM",IFERROR(INDEX(機種マスタ!$I$4:$I$203,MATCH($C426,機種マスタ!$J$4:$J$203,0)),"未登録"),IFERROR(INDEX(機種マスタ!$A$4:$A$363,MATCH($C426,機種マスタ!$B$4:$B$363,0)),"未登録")))</f>
        <v/>
      </c>
      <c r="F426" s="30">
        <f>IF($C426="","",IF($B426="YM",IFERROR(INDEX(機種マスタ!$K$4:$K$203,MATCH($C426,機種マスタ!$J$4:$J$203,0)),"-"),IFERROR(INDEX(機種マスタ!$C$4:$C$363,MATCH($C426,機種マスタ!$B$4:$B$363,0)),"-")))</f>
        <v/>
      </c>
      <c r="G426" s="30">
        <f>IF($C426="","",IF($B426="YM",IFERROR(N(INDEX(機種マスタ!$L$4:$L$203,MATCH($C426,機種マスタ!$J$4:$J$203,0))),0),IFERROR(N(INDEX(機種マスタ!$D$4:$D$363,MATCH($C426,機種マスタ!$B$4:$B$363,0))),0)))</f>
        <v/>
      </c>
      <c r="H426" s="30">
        <f>IF($C426="","",IF($D426="",1,$D426))</f>
        <v/>
      </c>
      <c r="I426" s="30">
        <f>IF($C426="","",IF(G426&gt;0,(G426+IFERROR(VLOOKUP(F426,機種マスタ!$Q$4:$R$6,2,FALSE),0))*H426,0))</f>
        <v/>
      </c>
    </row>
    <row r="427">
      <c r="A427" s="56" t="n"/>
      <c r="B427" s="41" t="n"/>
      <c r="C427" s="40" t="n"/>
      <c r="D427" s="41" t="n"/>
      <c r="E427" s="30">
        <f>IF($C427="","",IF($B427="YM",IFERROR(INDEX(機種マスタ!$I$4:$I$203,MATCH($C427,機種マスタ!$J$4:$J$203,0)),"未登録"),IFERROR(INDEX(機種マスタ!$A$4:$A$363,MATCH($C427,機種マスタ!$B$4:$B$363,0)),"未登録")))</f>
        <v/>
      </c>
      <c r="F427" s="30">
        <f>IF($C427="","",IF($B427="YM",IFERROR(INDEX(機種マスタ!$K$4:$K$203,MATCH($C427,機種マスタ!$J$4:$J$203,0)),"-"),IFERROR(INDEX(機種マスタ!$C$4:$C$363,MATCH($C427,機種マスタ!$B$4:$B$363,0)),"-")))</f>
        <v/>
      </c>
      <c r="G427" s="30">
        <f>IF($C427="","",IF($B427="YM",IFERROR(N(INDEX(機種マスタ!$L$4:$L$203,MATCH($C427,機種マスタ!$J$4:$J$203,0))),0),IFERROR(N(INDEX(機種マスタ!$D$4:$D$363,MATCH($C427,機種マスタ!$B$4:$B$363,0))),0)))</f>
        <v/>
      </c>
      <c r="H427" s="30">
        <f>IF($C427="","",IF($D427="",1,$D427))</f>
        <v/>
      </c>
      <c r="I427" s="30">
        <f>IF($C427="","",IF(G427&gt;0,(G427+IFERROR(VLOOKUP(F427,機種マスタ!$Q$4:$R$6,2,FALSE),0))*H427,0))</f>
        <v/>
      </c>
    </row>
    <row r="428">
      <c r="A428" s="56" t="n"/>
      <c r="B428" s="41" t="n"/>
      <c r="C428" s="40" t="n"/>
      <c r="D428" s="41" t="n"/>
      <c r="E428" s="30">
        <f>IF($C428="","",IF($B428="YM",IFERROR(INDEX(機種マスタ!$I$4:$I$203,MATCH($C428,機種マスタ!$J$4:$J$203,0)),"未登録"),IFERROR(INDEX(機種マスタ!$A$4:$A$363,MATCH($C428,機種マスタ!$B$4:$B$363,0)),"未登録")))</f>
        <v/>
      </c>
      <c r="F428" s="30">
        <f>IF($C428="","",IF($B428="YM",IFERROR(INDEX(機種マスタ!$K$4:$K$203,MATCH($C428,機種マスタ!$J$4:$J$203,0)),"-"),IFERROR(INDEX(機種マスタ!$C$4:$C$363,MATCH($C428,機種マスタ!$B$4:$B$363,0)),"-")))</f>
        <v/>
      </c>
      <c r="G428" s="30">
        <f>IF($C428="","",IF($B428="YM",IFERROR(N(INDEX(機種マスタ!$L$4:$L$203,MATCH($C428,機種マスタ!$J$4:$J$203,0))),0),IFERROR(N(INDEX(機種マスタ!$D$4:$D$363,MATCH($C428,機種マスタ!$B$4:$B$363,0))),0)))</f>
        <v/>
      </c>
      <c r="H428" s="30">
        <f>IF($C428="","",IF($D428="",1,$D428))</f>
        <v/>
      </c>
      <c r="I428" s="30">
        <f>IF($C428="","",IF(G428&gt;0,(G428+IFERROR(VLOOKUP(F428,機種マスタ!$Q$4:$R$6,2,FALSE),0))*H428,0))</f>
        <v/>
      </c>
    </row>
    <row r="429">
      <c r="A429" s="56" t="n"/>
      <c r="B429" s="41" t="n"/>
      <c r="C429" s="40" t="n"/>
      <c r="D429" s="41" t="n"/>
      <c r="E429" s="30">
        <f>IF($C429="","",IF($B429="YM",IFERROR(INDEX(機種マスタ!$I$4:$I$203,MATCH($C429,機種マスタ!$J$4:$J$203,0)),"未登録"),IFERROR(INDEX(機種マスタ!$A$4:$A$363,MATCH($C429,機種マスタ!$B$4:$B$363,0)),"未登録")))</f>
        <v/>
      </c>
      <c r="F429" s="30">
        <f>IF($C429="","",IF($B429="YM",IFERROR(INDEX(機種マスタ!$K$4:$K$203,MATCH($C429,機種マスタ!$J$4:$J$203,0)),"-"),IFERROR(INDEX(機種マスタ!$C$4:$C$363,MATCH($C429,機種マスタ!$B$4:$B$363,0)),"-")))</f>
        <v/>
      </c>
      <c r="G429" s="30">
        <f>IF($C429="","",IF($B429="YM",IFERROR(N(INDEX(機種マスタ!$L$4:$L$203,MATCH($C429,機種マスタ!$J$4:$J$203,0))),0),IFERROR(N(INDEX(機種マスタ!$D$4:$D$363,MATCH($C429,機種マスタ!$B$4:$B$363,0))),0)))</f>
        <v/>
      </c>
      <c r="H429" s="30">
        <f>IF($C429="","",IF($D429="",1,$D429))</f>
        <v/>
      </c>
      <c r="I429" s="30">
        <f>IF($C429="","",IF(G429&gt;0,(G429+IFERROR(VLOOKUP(F429,機種マスタ!$Q$4:$R$6,2,FALSE),0))*H429,0))</f>
        <v/>
      </c>
    </row>
    <row r="430">
      <c r="A430" s="56" t="n"/>
      <c r="B430" s="41" t="n"/>
      <c r="C430" s="40" t="n"/>
      <c r="D430" s="41" t="n"/>
      <c r="E430" s="30">
        <f>IF($C430="","",IF($B430="YM",IFERROR(INDEX(機種マスタ!$I$4:$I$203,MATCH($C430,機種マスタ!$J$4:$J$203,0)),"未登録"),IFERROR(INDEX(機種マスタ!$A$4:$A$363,MATCH($C430,機種マスタ!$B$4:$B$363,0)),"未登録")))</f>
        <v/>
      </c>
      <c r="F430" s="30">
        <f>IF($C430="","",IF($B430="YM",IFERROR(INDEX(機種マスタ!$K$4:$K$203,MATCH($C430,機種マスタ!$J$4:$J$203,0)),"-"),IFERROR(INDEX(機種マスタ!$C$4:$C$363,MATCH($C430,機種マスタ!$B$4:$B$363,0)),"-")))</f>
        <v/>
      </c>
      <c r="G430" s="30">
        <f>IF($C430="","",IF($B430="YM",IFERROR(N(INDEX(機種マスタ!$L$4:$L$203,MATCH($C430,機種マスタ!$J$4:$J$203,0))),0),IFERROR(N(INDEX(機種マスタ!$D$4:$D$363,MATCH($C430,機種マスタ!$B$4:$B$363,0))),0)))</f>
        <v/>
      </c>
      <c r="H430" s="30">
        <f>IF($C430="","",IF($D430="",1,$D430))</f>
        <v/>
      </c>
      <c r="I430" s="30">
        <f>IF($C430="","",IF(G430&gt;0,(G430+IFERROR(VLOOKUP(F430,機種マスタ!$Q$4:$R$6,2,FALSE),0))*H430,0))</f>
        <v/>
      </c>
    </row>
    <row r="431">
      <c r="A431" s="56" t="n"/>
      <c r="B431" s="41" t="n"/>
      <c r="C431" s="40" t="n"/>
      <c r="D431" s="41" t="n"/>
      <c r="E431" s="30">
        <f>IF($C431="","",IF($B431="YM",IFERROR(INDEX(機種マスタ!$I$4:$I$203,MATCH($C431,機種マスタ!$J$4:$J$203,0)),"未登録"),IFERROR(INDEX(機種マスタ!$A$4:$A$363,MATCH($C431,機種マスタ!$B$4:$B$363,0)),"未登録")))</f>
        <v/>
      </c>
      <c r="F431" s="30">
        <f>IF($C431="","",IF($B431="YM",IFERROR(INDEX(機種マスタ!$K$4:$K$203,MATCH($C431,機種マスタ!$J$4:$J$203,0)),"-"),IFERROR(INDEX(機種マスタ!$C$4:$C$363,MATCH($C431,機種マスタ!$B$4:$B$363,0)),"-")))</f>
        <v/>
      </c>
      <c r="G431" s="30">
        <f>IF($C431="","",IF($B431="YM",IFERROR(N(INDEX(機種マスタ!$L$4:$L$203,MATCH($C431,機種マスタ!$J$4:$J$203,0))),0),IFERROR(N(INDEX(機種マスタ!$D$4:$D$363,MATCH($C431,機種マスタ!$B$4:$B$363,0))),0)))</f>
        <v/>
      </c>
      <c r="H431" s="30">
        <f>IF($C431="","",IF($D431="",1,$D431))</f>
        <v/>
      </c>
      <c r="I431" s="30">
        <f>IF($C431="","",IF(G431&gt;0,(G431+IFERROR(VLOOKUP(F431,機種マスタ!$Q$4:$R$6,2,FALSE),0))*H431,0))</f>
        <v/>
      </c>
    </row>
    <row r="432">
      <c r="A432" s="56" t="n"/>
      <c r="B432" s="41" t="n"/>
      <c r="C432" s="40" t="n"/>
      <c r="D432" s="41" t="n"/>
      <c r="E432" s="30">
        <f>IF($C432="","",IF($B432="YM",IFERROR(INDEX(機種マスタ!$I$4:$I$203,MATCH($C432,機種マスタ!$J$4:$J$203,0)),"未登録"),IFERROR(INDEX(機種マスタ!$A$4:$A$363,MATCH($C432,機種マスタ!$B$4:$B$363,0)),"未登録")))</f>
        <v/>
      </c>
      <c r="F432" s="30">
        <f>IF($C432="","",IF($B432="YM",IFERROR(INDEX(機種マスタ!$K$4:$K$203,MATCH($C432,機種マスタ!$J$4:$J$203,0)),"-"),IFERROR(INDEX(機種マスタ!$C$4:$C$363,MATCH($C432,機種マスタ!$B$4:$B$363,0)),"-")))</f>
        <v/>
      </c>
      <c r="G432" s="30">
        <f>IF($C432="","",IF($B432="YM",IFERROR(N(INDEX(機種マスタ!$L$4:$L$203,MATCH($C432,機種マスタ!$J$4:$J$203,0))),0),IFERROR(N(INDEX(機種マスタ!$D$4:$D$363,MATCH($C432,機種マスタ!$B$4:$B$363,0))),0)))</f>
        <v/>
      </c>
      <c r="H432" s="30">
        <f>IF($C432="","",IF($D432="",1,$D432))</f>
        <v/>
      </c>
      <c r="I432" s="30">
        <f>IF($C432="","",IF(G432&gt;0,(G432+IFERROR(VLOOKUP(F432,機種マスタ!$Q$4:$R$6,2,FALSE),0))*H432,0))</f>
        <v/>
      </c>
    </row>
    <row r="433">
      <c r="A433" s="56" t="n"/>
      <c r="B433" s="41" t="n"/>
      <c r="C433" s="40" t="n"/>
      <c r="D433" s="41" t="n"/>
      <c r="E433" s="30">
        <f>IF($C433="","",IF($B433="YM",IFERROR(INDEX(機種マスタ!$I$4:$I$203,MATCH($C433,機種マスタ!$J$4:$J$203,0)),"未登録"),IFERROR(INDEX(機種マスタ!$A$4:$A$363,MATCH($C433,機種マスタ!$B$4:$B$363,0)),"未登録")))</f>
        <v/>
      </c>
      <c r="F433" s="30">
        <f>IF($C433="","",IF($B433="YM",IFERROR(INDEX(機種マスタ!$K$4:$K$203,MATCH($C433,機種マスタ!$J$4:$J$203,0)),"-"),IFERROR(INDEX(機種マスタ!$C$4:$C$363,MATCH($C433,機種マスタ!$B$4:$B$363,0)),"-")))</f>
        <v/>
      </c>
      <c r="G433" s="30">
        <f>IF($C433="","",IF($B433="YM",IFERROR(N(INDEX(機種マスタ!$L$4:$L$203,MATCH($C433,機種マスタ!$J$4:$J$203,0))),0),IFERROR(N(INDEX(機種マスタ!$D$4:$D$363,MATCH($C433,機種マスタ!$B$4:$B$363,0))),0)))</f>
        <v/>
      </c>
      <c r="H433" s="30">
        <f>IF($C433="","",IF($D433="",1,$D433))</f>
        <v/>
      </c>
      <c r="I433" s="30">
        <f>IF($C433="","",IF(G433&gt;0,(G433+IFERROR(VLOOKUP(F433,機種マスタ!$Q$4:$R$6,2,FALSE),0))*H433,0))</f>
        <v/>
      </c>
    </row>
    <row r="434">
      <c r="A434" s="56" t="n"/>
      <c r="B434" s="41" t="n"/>
      <c r="C434" s="40" t="n"/>
      <c r="D434" s="41" t="n"/>
      <c r="E434" s="30">
        <f>IF($C434="","",IF($B434="YM",IFERROR(INDEX(機種マスタ!$I$4:$I$203,MATCH($C434,機種マスタ!$J$4:$J$203,0)),"未登録"),IFERROR(INDEX(機種マスタ!$A$4:$A$363,MATCH($C434,機種マスタ!$B$4:$B$363,0)),"未登録")))</f>
        <v/>
      </c>
      <c r="F434" s="30">
        <f>IF($C434="","",IF($B434="YM",IFERROR(INDEX(機種マスタ!$K$4:$K$203,MATCH($C434,機種マスタ!$J$4:$J$203,0)),"-"),IFERROR(INDEX(機種マスタ!$C$4:$C$363,MATCH($C434,機種マスタ!$B$4:$B$363,0)),"-")))</f>
        <v/>
      </c>
      <c r="G434" s="30">
        <f>IF($C434="","",IF($B434="YM",IFERROR(N(INDEX(機種マスタ!$L$4:$L$203,MATCH($C434,機種マスタ!$J$4:$J$203,0))),0),IFERROR(N(INDEX(機種マスタ!$D$4:$D$363,MATCH($C434,機種マスタ!$B$4:$B$363,0))),0)))</f>
        <v/>
      </c>
      <c r="H434" s="30">
        <f>IF($C434="","",IF($D434="",1,$D434))</f>
        <v/>
      </c>
      <c r="I434" s="30">
        <f>IF($C434="","",IF(G434&gt;0,(G434+IFERROR(VLOOKUP(F434,機種マスタ!$Q$4:$R$6,2,FALSE),0))*H434,0))</f>
        <v/>
      </c>
    </row>
    <row r="435">
      <c r="A435" s="56" t="n"/>
      <c r="B435" s="41" t="n"/>
      <c r="C435" s="40" t="n"/>
      <c r="D435" s="41" t="n"/>
      <c r="E435" s="30">
        <f>IF($C435="","",IF($B435="YM",IFERROR(INDEX(機種マスタ!$I$4:$I$203,MATCH($C435,機種マスタ!$J$4:$J$203,0)),"未登録"),IFERROR(INDEX(機種マスタ!$A$4:$A$363,MATCH($C435,機種マスタ!$B$4:$B$363,0)),"未登録")))</f>
        <v/>
      </c>
      <c r="F435" s="30">
        <f>IF($C435="","",IF($B435="YM",IFERROR(INDEX(機種マスタ!$K$4:$K$203,MATCH($C435,機種マスタ!$J$4:$J$203,0)),"-"),IFERROR(INDEX(機種マスタ!$C$4:$C$363,MATCH($C435,機種マスタ!$B$4:$B$363,0)),"-")))</f>
        <v/>
      </c>
      <c r="G435" s="30">
        <f>IF($C435="","",IF($B435="YM",IFERROR(N(INDEX(機種マスタ!$L$4:$L$203,MATCH($C435,機種マスタ!$J$4:$J$203,0))),0),IFERROR(N(INDEX(機種マスタ!$D$4:$D$363,MATCH($C435,機種マスタ!$B$4:$B$363,0))),0)))</f>
        <v/>
      </c>
      <c r="H435" s="30">
        <f>IF($C435="","",IF($D435="",1,$D435))</f>
        <v/>
      </c>
      <c r="I435" s="30">
        <f>IF($C435="","",IF(G435&gt;0,(G435+IFERROR(VLOOKUP(F435,機種マスタ!$Q$4:$R$6,2,FALSE),0))*H435,0))</f>
        <v/>
      </c>
    </row>
    <row r="436">
      <c r="A436" s="56" t="n"/>
      <c r="B436" s="41" t="n"/>
      <c r="C436" s="40" t="n"/>
      <c r="D436" s="41" t="n"/>
      <c r="E436" s="30">
        <f>IF($C436="","",IF($B436="YM",IFERROR(INDEX(機種マスタ!$I$4:$I$203,MATCH($C436,機種マスタ!$J$4:$J$203,0)),"未登録"),IFERROR(INDEX(機種マスタ!$A$4:$A$363,MATCH($C436,機種マスタ!$B$4:$B$363,0)),"未登録")))</f>
        <v/>
      </c>
      <c r="F436" s="30">
        <f>IF($C436="","",IF($B436="YM",IFERROR(INDEX(機種マスタ!$K$4:$K$203,MATCH($C436,機種マスタ!$J$4:$J$203,0)),"-"),IFERROR(INDEX(機種マスタ!$C$4:$C$363,MATCH($C436,機種マスタ!$B$4:$B$363,0)),"-")))</f>
        <v/>
      </c>
      <c r="G436" s="30">
        <f>IF($C436="","",IF($B436="YM",IFERROR(N(INDEX(機種マスタ!$L$4:$L$203,MATCH($C436,機種マスタ!$J$4:$J$203,0))),0),IFERROR(N(INDEX(機種マスタ!$D$4:$D$363,MATCH($C436,機種マスタ!$B$4:$B$363,0))),0)))</f>
        <v/>
      </c>
      <c r="H436" s="30">
        <f>IF($C436="","",IF($D436="",1,$D436))</f>
        <v/>
      </c>
      <c r="I436" s="30">
        <f>IF($C436="","",IF(G436&gt;0,(G436+IFERROR(VLOOKUP(F436,機種マスタ!$Q$4:$R$6,2,FALSE),0))*H436,0))</f>
        <v/>
      </c>
    </row>
    <row r="437">
      <c r="A437" s="56" t="n"/>
      <c r="B437" s="41" t="n"/>
      <c r="C437" s="40" t="n"/>
      <c r="D437" s="41" t="n"/>
      <c r="E437" s="30">
        <f>IF($C437="","",IF($B437="YM",IFERROR(INDEX(機種マスタ!$I$4:$I$203,MATCH($C437,機種マスタ!$J$4:$J$203,0)),"未登録"),IFERROR(INDEX(機種マスタ!$A$4:$A$363,MATCH($C437,機種マスタ!$B$4:$B$363,0)),"未登録")))</f>
        <v/>
      </c>
      <c r="F437" s="30">
        <f>IF($C437="","",IF($B437="YM",IFERROR(INDEX(機種マスタ!$K$4:$K$203,MATCH($C437,機種マスタ!$J$4:$J$203,0)),"-"),IFERROR(INDEX(機種マスタ!$C$4:$C$363,MATCH($C437,機種マスタ!$B$4:$B$363,0)),"-")))</f>
        <v/>
      </c>
      <c r="G437" s="30">
        <f>IF($C437="","",IF($B437="YM",IFERROR(N(INDEX(機種マスタ!$L$4:$L$203,MATCH($C437,機種マスタ!$J$4:$J$203,0))),0),IFERROR(N(INDEX(機種マスタ!$D$4:$D$363,MATCH($C437,機種マスタ!$B$4:$B$363,0))),0)))</f>
        <v/>
      </c>
      <c r="H437" s="30">
        <f>IF($C437="","",IF($D437="",1,$D437))</f>
        <v/>
      </c>
      <c r="I437" s="30">
        <f>IF($C437="","",IF(G437&gt;0,(G437+IFERROR(VLOOKUP(F437,機種マスタ!$Q$4:$R$6,2,FALSE),0))*H437,0))</f>
        <v/>
      </c>
    </row>
    <row r="438">
      <c r="A438" s="56" t="n"/>
      <c r="B438" s="41" t="n"/>
      <c r="C438" s="40" t="n"/>
      <c r="D438" s="41" t="n"/>
      <c r="E438" s="30">
        <f>IF($C438="","",IF($B438="YM",IFERROR(INDEX(機種マスタ!$I$4:$I$203,MATCH($C438,機種マスタ!$J$4:$J$203,0)),"未登録"),IFERROR(INDEX(機種マスタ!$A$4:$A$363,MATCH($C438,機種マスタ!$B$4:$B$363,0)),"未登録")))</f>
        <v/>
      </c>
      <c r="F438" s="30">
        <f>IF($C438="","",IF($B438="YM",IFERROR(INDEX(機種マスタ!$K$4:$K$203,MATCH($C438,機種マスタ!$J$4:$J$203,0)),"-"),IFERROR(INDEX(機種マスタ!$C$4:$C$363,MATCH($C438,機種マスタ!$B$4:$B$363,0)),"-")))</f>
        <v/>
      </c>
      <c r="G438" s="30">
        <f>IF($C438="","",IF($B438="YM",IFERROR(N(INDEX(機種マスタ!$L$4:$L$203,MATCH($C438,機種マスタ!$J$4:$J$203,0))),0),IFERROR(N(INDEX(機種マスタ!$D$4:$D$363,MATCH($C438,機種マスタ!$B$4:$B$363,0))),0)))</f>
        <v/>
      </c>
      <c r="H438" s="30">
        <f>IF($C438="","",IF($D438="",1,$D438))</f>
        <v/>
      </c>
      <c r="I438" s="30">
        <f>IF($C438="","",IF(G438&gt;0,(G438+IFERROR(VLOOKUP(F438,機種マスタ!$Q$4:$R$6,2,FALSE),0))*H438,0))</f>
        <v/>
      </c>
    </row>
    <row r="439">
      <c r="A439" s="56" t="n"/>
      <c r="B439" s="41" t="n"/>
      <c r="C439" s="40" t="n"/>
      <c r="D439" s="41" t="n"/>
      <c r="E439" s="30">
        <f>IF($C439="","",IF($B439="YM",IFERROR(INDEX(機種マスタ!$I$4:$I$203,MATCH($C439,機種マスタ!$J$4:$J$203,0)),"未登録"),IFERROR(INDEX(機種マスタ!$A$4:$A$363,MATCH($C439,機種マスタ!$B$4:$B$363,0)),"未登録")))</f>
        <v/>
      </c>
      <c r="F439" s="30">
        <f>IF($C439="","",IF($B439="YM",IFERROR(INDEX(機種マスタ!$K$4:$K$203,MATCH($C439,機種マスタ!$J$4:$J$203,0)),"-"),IFERROR(INDEX(機種マスタ!$C$4:$C$363,MATCH($C439,機種マスタ!$B$4:$B$363,0)),"-")))</f>
        <v/>
      </c>
      <c r="G439" s="30">
        <f>IF($C439="","",IF($B439="YM",IFERROR(N(INDEX(機種マスタ!$L$4:$L$203,MATCH($C439,機種マスタ!$J$4:$J$203,0))),0),IFERROR(N(INDEX(機種マスタ!$D$4:$D$363,MATCH($C439,機種マスタ!$B$4:$B$363,0))),0)))</f>
        <v/>
      </c>
      <c r="H439" s="30">
        <f>IF($C439="","",IF($D439="",1,$D439))</f>
        <v/>
      </c>
      <c r="I439" s="30">
        <f>IF($C439="","",IF(G439&gt;0,(G439+IFERROR(VLOOKUP(F439,機種マスタ!$Q$4:$R$6,2,FALSE),0))*H439,0))</f>
        <v/>
      </c>
    </row>
    <row r="440">
      <c r="A440" s="56" t="n"/>
      <c r="B440" s="41" t="n"/>
      <c r="C440" s="40" t="n"/>
      <c r="D440" s="41" t="n"/>
      <c r="E440" s="30">
        <f>IF($C440="","",IF($B440="YM",IFERROR(INDEX(機種マスタ!$I$4:$I$203,MATCH($C440,機種マスタ!$J$4:$J$203,0)),"未登録"),IFERROR(INDEX(機種マスタ!$A$4:$A$363,MATCH($C440,機種マスタ!$B$4:$B$363,0)),"未登録")))</f>
        <v/>
      </c>
      <c r="F440" s="30">
        <f>IF($C440="","",IF($B440="YM",IFERROR(INDEX(機種マスタ!$K$4:$K$203,MATCH($C440,機種マスタ!$J$4:$J$203,0)),"-"),IFERROR(INDEX(機種マスタ!$C$4:$C$363,MATCH($C440,機種マスタ!$B$4:$B$363,0)),"-")))</f>
        <v/>
      </c>
      <c r="G440" s="30">
        <f>IF($C440="","",IF($B440="YM",IFERROR(N(INDEX(機種マスタ!$L$4:$L$203,MATCH($C440,機種マスタ!$J$4:$J$203,0))),0),IFERROR(N(INDEX(機種マスタ!$D$4:$D$363,MATCH($C440,機種マスタ!$B$4:$B$363,0))),0)))</f>
        <v/>
      </c>
      <c r="H440" s="30">
        <f>IF($C440="","",IF($D440="",1,$D440))</f>
        <v/>
      </c>
      <c r="I440" s="30">
        <f>IF($C440="","",IF(G440&gt;0,(G440+IFERROR(VLOOKUP(F440,機種マスタ!$Q$4:$R$6,2,FALSE),0))*H440,0))</f>
        <v/>
      </c>
    </row>
    <row r="441">
      <c r="A441" s="56" t="n"/>
      <c r="B441" s="41" t="n"/>
      <c r="C441" s="40" t="n"/>
      <c r="D441" s="41" t="n"/>
      <c r="E441" s="30">
        <f>IF($C441="","",IF($B441="YM",IFERROR(INDEX(機種マスタ!$I$4:$I$203,MATCH($C441,機種マスタ!$J$4:$J$203,0)),"未登録"),IFERROR(INDEX(機種マスタ!$A$4:$A$363,MATCH($C441,機種マスタ!$B$4:$B$363,0)),"未登録")))</f>
        <v/>
      </c>
      <c r="F441" s="30">
        <f>IF($C441="","",IF($B441="YM",IFERROR(INDEX(機種マスタ!$K$4:$K$203,MATCH($C441,機種マスタ!$J$4:$J$203,0)),"-"),IFERROR(INDEX(機種マスタ!$C$4:$C$363,MATCH($C441,機種マスタ!$B$4:$B$363,0)),"-")))</f>
        <v/>
      </c>
      <c r="G441" s="30">
        <f>IF($C441="","",IF($B441="YM",IFERROR(N(INDEX(機種マスタ!$L$4:$L$203,MATCH($C441,機種マスタ!$J$4:$J$203,0))),0),IFERROR(N(INDEX(機種マスタ!$D$4:$D$363,MATCH($C441,機種マスタ!$B$4:$B$363,0))),0)))</f>
        <v/>
      </c>
      <c r="H441" s="30">
        <f>IF($C441="","",IF($D441="",1,$D441))</f>
        <v/>
      </c>
      <c r="I441" s="30">
        <f>IF($C441="","",IF(G441&gt;0,(G441+IFERROR(VLOOKUP(F441,機種マスタ!$Q$4:$R$6,2,FALSE),0))*H441,0))</f>
        <v/>
      </c>
    </row>
    <row r="442">
      <c r="A442" s="56" t="n"/>
      <c r="B442" s="41" t="n"/>
      <c r="C442" s="40" t="n"/>
      <c r="D442" s="41" t="n"/>
      <c r="E442" s="30">
        <f>IF($C442="","",IF($B442="YM",IFERROR(INDEX(機種マスタ!$I$4:$I$203,MATCH($C442,機種マスタ!$J$4:$J$203,0)),"未登録"),IFERROR(INDEX(機種マスタ!$A$4:$A$363,MATCH($C442,機種マスタ!$B$4:$B$363,0)),"未登録")))</f>
        <v/>
      </c>
      <c r="F442" s="30">
        <f>IF($C442="","",IF($B442="YM",IFERROR(INDEX(機種マスタ!$K$4:$K$203,MATCH($C442,機種マスタ!$J$4:$J$203,0)),"-"),IFERROR(INDEX(機種マスタ!$C$4:$C$363,MATCH($C442,機種マスタ!$B$4:$B$363,0)),"-")))</f>
        <v/>
      </c>
      <c r="G442" s="30">
        <f>IF($C442="","",IF($B442="YM",IFERROR(N(INDEX(機種マスタ!$L$4:$L$203,MATCH($C442,機種マスタ!$J$4:$J$203,0))),0),IFERROR(N(INDEX(機種マスタ!$D$4:$D$363,MATCH($C442,機種マスタ!$B$4:$B$363,0))),0)))</f>
        <v/>
      </c>
      <c r="H442" s="30">
        <f>IF($C442="","",IF($D442="",1,$D442))</f>
        <v/>
      </c>
      <c r="I442" s="30">
        <f>IF($C442="","",IF(G442&gt;0,(G442+IFERROR(VLOOKUP(F442,機種マスタ!$Q$4:$R$6,2,FALSE),0))*H442,0))</f>
        <v/>
      </c>
    </row>
    <row r="443">
      <c r="A443" s="56" t="n"/>
      <c r="B443" s="41" t="n"/>
      <c r="C443" s="40" t="n"/>
      <c r="D443" s="41" t="n"/>
      <c r="E443" s="30">
        <f>IF($C443="","",IF($B443="YM",IFERROR(INDEX(機種マスタ!$I$4:$I$203,MATCH($C443,機種マスタ!$J$4:$J$203,0)),"未登録"),IFERROR(INDEX(機種マスタ!$A$4:$A$363,MATCH($C443,機種マスタ!$B$4:$B$363,0)),"未登録")))</f>
        <v/>
      </c>
      <c r="F443" s="30">
        <f>IF($C443="","",IF($B443="YM",IFERROR(INDEX(機種マスタ!$K$4:$K$203,MATCH($C443,機種マスタ!$J$4:$J$203,0)),"-"),IFERROR(INDEX(機種マスタ!$C$4:$C$363,MATCH($C443,機種マスタ!$B$4:$B$363,0)),"-")))</f>
        <v/>
      </c>
      <c r="G443" s="30">
        <f>IF($C443="","",IF($B443="YM",IFERROR(N(INDEX(機種マスタ!$L$4:$L$203,MATCH($C443,機種マスタ!$J$4:$J$203,0))),0),IFERROR(N(INDEX(機種マスタ!$D$4:$D$363,MATCH($C443,機種マスタ!$B$4:$B$363,0))),0)))</f>
        <v/>
      </c>
      <c r="H443" s="30">
        <f>IF($C443="","",IF($D443="",1,$D443))</f>
        <v/>
      </c>
      <c r="I443" s="30">
        <f>IF($C443="","",IF(G443&gt;0,(G443+IFERROR(VLOOKUP(F443,機種マスタ!$Q$4:$R$6,2,FALSE),0))*H443,0))</f>
        <v/>
      </c>
    </row>
    <row r="444">
      <c r="A444" s="56" t="n"/>
      <c r="B444" s="41" t="n"/>
      <c r="C444" s="40" t="n"/>
      <c r="D444" s="41" t="n"/>
      <c r="E444" s="30">
        <f>IF($C444="","",IF($B444="YM",IFERROR(INDEX(機種マスタ!$I$4:$I$203,MATCH($C444,機種マスタ!$J$4:$J$203,0)),"未登録"),IFERROR(INDEX(機種マスタ!$A$4:$A$363,MATCH($C444,機種マスタ!$B$4:$B$363,0)),"未登録")))</f>
        <v/>
      </c>
      <c r="F444" s="30">
        <f>IF($C444="","",IF($B444="YM",IFERROR(INDEX(機種マスタ!$K$4:$K$203,MATCH($C444,機種マスタ!$J$4:$J$203,0)),"-"),IFERROR(INDEX(機種マスタ!$C$4:$C$363,MATCH($C444,機種マスタ!$B$4:$B$363,0)),"-")))</f>
        <v/>
      </c>
      <c r="G444" s="30">
        <f>IF($C444="","",IF($B444="YM",IFERROR(N(INDEX(機種マスタ!$L$4:$L$203,MATCH($C444,機種マスタ!$J$4:$J$203,0))),0),IFERROR(N(INDEX(機種マスタ!$D$4:$D$363,MATCH($C444,機種マスタ!$B$4:$B$363,0))),0)))</f>
        <v/>
      </c>
      <c r="H444" s="30">
        <f>IF($C444="","",IF($D444="",1,$D444))</f>
        <v/>
      </c>
      <c r="I444" s="30">
        <f>IF($C444="","",IF(G444&gt;0,(G444+IFERROR(VLOOKUP(F444,機種マスタ!$Q$4:$R$6,2,FALSE),0))*H444,0))</f>
        <v/>
      </c>
    </row>
    <row r="445">
      <c r="A445" s="56" t="n"/>
      <c r="B445" s="41" t="n"/>
      <c r="C445" s="40" t="n"/>
      <c r="D445" s="41" t="n"/>
      <c r="E445" s="30">
        <f>IF($C445="","",IF($B445="YM",IFERROR(INDEX(機種マスタ!$I$4:$I$203,MATCH($C445,機種マスタ!$J$4:$J$203,0)),"未登録"),IFERROR(INDEX(機種マスタ!$A$4:$A$363,MATCH($C445,機種マスタ!$B$4:$B$363,0)),"未登録")))</f>
        <v/>
      </c>
      <c r="F445" s="30">
        <f>IF($C445="","",IF($B445="YM",IFERROR(INDEX(機種マスタ!$K$4:$K$203,MATCH($C445,機種マスタ!$J$4:$J$203,0)),"-"),IFERROR(INDEX(機種マスタ!$C$4:$C$363,MATCH($C445,機種マスタ!$B$4:$B$363,0)),"-")))</f>
        <v/>
      </c>
      <c r="G445" s="30">
        <f>IF($C445="","",IF($B445="YM",IFERROR(N(INDEX(機種マスタ!$L$4:$L$203,MATCH($C445,機種マスタ!$J$4:$J$203,0))),0),IFERROR(N(INDEX(機種マスタ!$D$4:$D$363,MATCH($C445,機種マスタ!$B$4:$B$363,0))),0)))</f>
        <v/>
      </c>
      <c r="H445" s="30">
        <f>IF($C445="","",IF($D445="",1,$D445))</f>
        <v/>
      </c>
      <c r="I445" s="30">
        <f>IF($C445="","",IF(G445&gt;0,(G445+IFERROR(VLOOKUP(F445,機種マスタ!$Q$4:$R$6,2,FALSE),0))*H445,0))</f>
        <v/>
      </c>
    </row>
    <row r="446">
      <c r="A446" s="56" t="n"/>
      <c r="B446" s="41" t="n"/>
      <c r="C446" s="40" t="n"/>
      <c r="D446" s="41" t="n"/>
      <c r="E446" s="30">
        <f>IF($C446="","",IF($B446="YM",IFERROR(INDEX(機種マスタ!$I$4:$I$203,MATCH($C446,機種マスタ!$J$4:$J$203,0)),"未登録"),IFERROR(INDEX(機種マスタ!$A$4:$A$363,MATCH($C446,機種マスタ!$B$4:$B$363,0)),"未登録")))</f>
        <v/>
      </c>
      <c r="F446" s="30">
        <f>IF($C446="","",IF($B446="YM",IFERROR(INDEX(機種マスタ!$K$4:$K$203,MATCH($C446,機種マスタ!$J$4:$J$203,0)),"-"),IFERROR(INDEX(機種マスタ!$C$4:$C$363,MATCH($C446,機種マスタ!$B$4:$B$363,0)),"-")))</f>
        <v/>
      </c>
      <c r="G446" s="30">
        <f>IF($C446="","",IF($B446="YM",IFERROR(N(INDEX(機種マスタ!$L$4:$L$203,MATCH($C446,機種マスタ!$J$4:$J$203,0))),0),IFERROR(N(INDEX(機種マスタ!$D$4:$D$363,MATCH($C446,機種マスタ!$B$4:$B$363,0))),0)))</f>
        <v/>
      </c>
      <c r="H446" s="30">
        <f>IF($C446="","",IF($D446="",1,$D446))</f>
        <v/>
      </c>
      <c r="I446" s="30">
        <f>IF($C446="","",IF(G446&gt;0,(G446+IFERROR(VLOOKUP(F446,機種マスタ!$Q$4:$R$6,2,FALSE),0))*H446,0))</f>
        <v/>
      </c>
    </row>
    <row r="447">
      <c r="A447" s="56" t="n"/>
      <c r="B447" s="41" t="n"/>
      <c r="C447" s="40" t="n"/>
      <c r="D447" s="41" t="n"/>
      <c r="E447" s="30">
        <f>IF($C447="","",IF($B447="YM",IFERROR(INDEX(機種マスタ!$I$4:$I$203,MATCH($C447,機種マスタ!$J$4:$J$203,0)),"未登録"),IFERROR(INDEX(機種マスタ!$A$4:$A$363,MATCH($C447,機種マスタ!$B$4:$B$363,0)),"未登録")))</f>
        <v/>
      </c>
      <c r="F447" s="30">
        <f>IF($C447="","",IF($B447="YM",IFERROR(INDEX(機種マスタ!$K$4:$K$203,MATCH($C447,機種マスタ!$J$4:$J$203,0)),"-"),IFERROR(INDEX(機種マスタ!$C$4:$C$363,MATCH($C447,機種マスタ!$B$4:$B$363,0)),"-")))</f>
        <v/>
      </c>
      <c r="G447" s="30">
        <f>IF($C447="","",IF($B447="YM",IFERROR(N(INDEX(機種マスタ!$L$4:$L$203,MATCH($C447,機種マスタ!$J$4:$J$203,0))),0),IFERROR(N(INDEX(機種マスタ!$D$4:$D$363,MATCH($C447,機種マスタ!$B$4:$B$363,0))),0)))</f>
        <v/>
      </c>
      <c r="H447" s="30">
        <f>IF($C447="","",IF($D447="",1,$D447))</f>
        <v/>
      </c>
      <c r="I447" s="30">
        <f>IF($C447="","",IF(G447&gt;0,(G447+IFERROR(VLOOKUP(F447,機種マスタ!$Q$4:$R$6,2,FALSE),0))*H447,0))</f>
        <v/>
      </c>
    </row>
    <row r="448">
      <c r="A448" s="56" t="n"/>
      <c r="B448" s="41" t="n"/>
      <c r="C448" s="40" t="n"/>
      <c r="D448" s="41" t="n"/>
      <c r="E448" s="30">
        <f>IF($C448="","",IF($B448="YM",IFERROR(INDEX(機種マスタ!$I$4:$I$203,MATCH($C448,機種マスタ!$J$4:$J$203,0)),"未登録"),IFERROR(INDEX(機種マスタ!$A$4:$A$363,MATCH($C448,機種マスタ!$B$4:$B$363,0)),"未登録")))</f>
        <v/>
      </c>
      <c r="F448" s="30">
        <f>IF($C448="","",IF($B448="YM",IFERROR(INDEX(機種マスタ!$K$4:$K$203,MATCH($C448,機種マスタ!$J$4:$J$203,0)),"-"),IFERROR(INDEX(機種マスタ!$C$4:$C$363,MATCH($C448,機種マスタ!$B$4:$B$363,0)),"-")))</f>
        <v/>
      </c>
      <c r="G448" s="30">
        <f>IF($C448="","",IF($B448="YM",IFERROR(N(INDEX(機種マスタ!$L$4:$L$203,MATCH($C448,機種マスタ!$J$4:$J$203,0))),0),IFERROR(N(INDEX(機種マスタ!$D$4:$D$363,MATCH($C448,機種マスタ!$B$4:$B$363,0))),0)))</f>
        <v/>
      </c>
      <c r="H448" s="30">
        <f>IF($C448="","",IF($D448="",1,$D448))</f>
        <v/>
      </c>
      <c r="I448" s="30">
        <f>IF($C448="","",IF(G448&gt;0,(G448+IFERROR(VLOOKUP(F448,機種マスタ!$Q$4:$R$6,2,FALSE),0))*H448,0))</f>
        <v/>
      </c>
    </row>
    <row r="449">
      <c r="A449" s="56" t="n"/>
      <c r="B449" s="41" t="n"/>
      <c r="C449" s="40" t="n"/>
      <c r="D449" s="41" t="n"/>
      <c r="E449" s="30">
        <f>IF($C449="","",IF($B449="YM",IFERROR(INDEX(機種マスタ!$I$4:$I$203,MATCH($C449,機種マスタ!$J$4:$J$203,0)),"未登録"),IFERROR(INDEX(機種マスタ!$A$4:$A$363,MATCH($C449,機種マスタ!$B$4:$B$363,0)),"未登録")))</f>
        <v/>
      </c>
      <c r="F449" s="30">
        <f>IF($C449="","",IF($B449="YM",IFERROR(INDEX(機種マスタ!$K$4:$K$203,MATCH($C449,機種マスタ!$J$4:$J$203,0)),"-"),IFERROR(INDEX(機種マスタ!$C$4:$C$363,MATCH($C449,機種マスタ!$B$4:$B$363,0)),"-")))</f>
        <v/>
      </c>
      <c r="G449" s="30">
        <f>IF($C449="","",IF($B449="YM",IFERROR(N(INDEX(機種マスタ!$L$4:$L$203,MATCH($C449,機種マスタ!$J$4:$J$203,0))),0),IFERROR(N(INDEX(機種マスタ!$D$4:$D$363,MATCH($C449,機種マスタ!$B$4:$B$363,0))),0)))</f>
        <v/>
      </c>
      <c r="H449" s="30">
        <f>IF($C449="","",IF($D449="",1,$D449))</f>
        <v/>
      </c>
      <c r="I449" s="30">
        <f>IF($C449="","",IF(G449&gt;0,(G449+IFERROR(VLOOKUP(F449,機種マスタ!$Q$4:$R$6,2,FALSE),0))*H449,0))</f>
        <v/>
      </c>
    </row>
    <row r="450">
      <c r="A450" s="56" t="n"/>
      <c r="B450" s="41" t="n"/>
      <c r="C450" s="40" t="n"/>
      <c r="D450" s="41" t="n"/>
      <c r="E450" s="30">
        <f>IF($C450="","",IF($B450="YM",IFERROR(INDEX(機種マスタ!$I$4:$I$203,MATCH($C450,機種マスタ!$J$4:$J$203,0)),"未登録"),IFERROR(INDEX(機種マスタ!$A$4:$A$363,MATCH($C450,機種マスタ!$B$4:$B$363,0)),"未登録")))</f>
        <v/>
      </c>
      <c r="F450" s="30">
        <f>IF($C450="","",IF($B450="YM",IFERROR(INDEX(機種マスタ!$K$4:$K$203,MATCH($C450,機種マスタ!$J$4:$J$203,0)),"-"),IFERROR(INDEX(機種マスタ!$C$4:$C$363,MATCH($C450,機種マスタ!$B$4:$B$363,0)),"-")))</f>
        <v/>
      </c>
      <c r="G450" s="30">
        <f>IF($C450="","",IF($B450="YM",IFERROR(N(INDEX(機種マスタ!$L$4:$L$203,MATCH($C450,機種マスタ!$J$4:$J$203,0))),0),IFERROR(N(INDEX(機種マスタ!$D$4:$D$363,MATCH($C450,機種マスタ!$B$4:$B$363,0))),0)))</f>
        <v/>
      </c>
      <c r="H450" s="30">
        <f>IF($C450="","",IF($D450="",1,$D450))</f>
        <v/>
      </c>
      <c r="I450" s="30">
        <f>IF($C450="","",IF(G450&gt;0,(G450+IFERROR(VLOOKUP(F450,機種マスタ!$Q$4:$R$6,2,FALSE),0))*H450,0))</f>
        <v/>
      </c>
    </row>
    <row r="451">
      <c r="A451" s="56" t="n"/>
      <c r="B451" s="41" t="n"/>
      <c r="C451" s="40" t="n"/>
      <c r="D451" s="41" t="n"/>
      <c r="E451" s="30">
        <f>IF($C451="","",IF($B451="YM",IFERROR(INDEX(機種マスタ!$I$4:$I$203,MATCH($C451,機種マスタ!$J$4:$J$203,0)),"未登録"),IFERROR(INDEX(機種マスタ!$A$4:$A$363,MATCH($C451,機種マスタ!$B$4:$B$363,0)),"未登録")))</f>
        <v/>
      </c>
      <c r="F451" s="30">
        <f>IF($C451="","",IF($B451="YM",IFERROR(INDEX(機種マスタ!$K$4:$K$203,MATCH($C451,機種マスタ!$J$4:$J$203,0)),"-"),IFERROR(INDEX(機種マスタ!$C$4:$C$363,MATCH($C451,機種マスタ!$B$4:$B$363,0)),"-")))</f>
        <v/>
      </c>
      <c r="G451" s="30">
        <f>IF($C451="","",IF($B451="YM",IFERROR(N(INDEX(機種マスタ!$L$4:$L$203,MATCH($C451,機種マスタ!$J$4:$J$203,0))),0),IFERROR(N(INDEX(機種マスタ!$D$4:$D$363,MATCH($C451,機種マスタ!$B$4:$B$363,0))),0)))</f>
        <v/>
      </c>
      <c r="H451" s="30">
        <f>IF($C451="","",IF($D451="",1,$D451))</f>
        <v/>
      </c>
      <c r="I451" s="30">
        <f>IF($C451="","",IF(G451&gt;0,(G451+IFERROR(VLOOKUP(F451,機種マスタ!$Q$4:$R$6,2,FALSE),0))*H451,0))</f>
        <v/>
      </c>
    </row>
    <row r="452">
      <c r="A452" s="56" t="n"/>
      <c r="B452" s="41" t="n"/>
      <c r="C452" s="40" t="n"/>
      <c r="D452" s="41" t="n"/>
      <c r="E452" s="30">
        <f>IF($C452="","",IF($B452="YM",IFERROR(INDEX(機種マスタ!$I$4:$I$203,MATCH($C452,機種マスタ!$J$4:$J$203,0)),"未登録"),IFERROR(INDEX(機種マスタ!$A$4:$A$363,MATCH($C452,機種マスタ!$B$4:$B$363,0)),"未登録")))</f>
        <v/>
      </c>
      <c r="F452" s="30">
        <f>IF($C452="","",IF($B452="YM",IFERROR(INDEX(機種マスタ!$K$4:$K$203,MATCH($C452,機種マスタ!$J$4:$J$203,0)),"-"),IFERROR(INDEX(機種マスタ!$C$4:$C$363,MATCH($C452,機種マスタ!$B$4:$B$363,0)),"-")))</f>
        <v/>
      </c>
      <c r="G452" s="30">
        <f>IF($C452="","",IF($B452="YM",IFERROR(N(INDEX(機種マスタ!$L$4:$L$203,MATCH($C452,機種マスタ!$J$4:$J$203,0))),0),IFERROR(N(INDEX(機種マスタ!$D$4:$D$363,MATCH($C452,機種マスタ!$B$4:$B$363,0))),0)))</f>
        <v/>
      </c>
      <c r="H452" s="30">
        <f>IF($C452="","",IF($D452="",1,$D452))</f>
        <v/>
      </c>
      <c r="I452" s="30">
        <f>IF($C452="","",IF(G452&gt;0,(G452+IFERROR(VLOOKUP(F452,機種マスタ!$Q$4:$R$6,2,FALSE),0))*H452,0))</f>
        <v/>
      </c>
    </row>
    <row r="453">
      <c r="A453" s="56" t="n"/>
      <c r="B453" s="41" t="n"/>
      <c r="C453" s="40" t="n"/>
      <c r="D453" s="41" t="n"/>
      <c r="E453" s="30">
        <f>IF($C453="","",IF($B453="YM",IFERROR(INDEX(機種マスタ!$I$4:$I$203,MATCH($C453,機種マスタ!$J$4:$J$203,0)),"未登録"),IFERROR(INDEX(機種マスタ!$A$4:$A$363,MATCH($C453,機種マスタ!$B$4:$B$363,0)),"未登録")))</f>
        <v/>
      </c>
      <c r="F453" s="30">
        <f>IF($C453="","",IF($B453="YM",IFERROR(INDEX(機種マスタ!$K$4:$K$203,MATCH($C453,機種マスタ!$J$4:$J$203,0)),"-"),IFERROR(INDEX(機種マスタ!$C$4:$C$363,MATCH($C453,機種マスタ!$B$4:$B$363,0)),"-")))</f>
        <v/>
      </c>
      <c r="G453" s="30">
        <f>IF($C453="","",IF($B453="YM",IFERROR(N(INDEX(機種マスタ!$L$4:$L$203,MATCH($C453,機種マスタ!$J$4:$J$203,0))),0),IFERROR(N(INDEX(機種マスタ!$D$4:$D$363,MATCH($C453,機種マスタ!$B$4:$B$363,0))),0)))</f>
        <v/>
      </c>
      <c r="H453" s="30">
        <f>IF($C453="","",IF($D453="",1,$D453))</f>
        <v/>
      </c>
      <c r="I453" s="30">
        <f>IF($C453="","",IF(G453&gt;0,(G453+IFERROR(VLOOKUP(F453,機種マスタ!$Q$4:$R$6,2,FALSE),0))*H453,0))</f>
        <v/>
      </c>
    </row>
    <row r="454">
      <c r="A454" s="56" t="n"/>
      <c r="B454" s="41" t="n"/>
      <c r="C454" s="40" t="n"/>
      <c r="D454" s="41" t="n"/>
      <c r="E454" s="30">
        <f>IF($C454="","",IF($B454="YM",IFERROR(INDEX(機種マスタ!$I$4:$I$203,MATCH($C454,機種マスタ!$J$4:$J$203,0)),"未登録"),IFERROR(INDEX(機種マスタ!$A$4:$A$363,MATCH($C454,機種マスタ!$B$4:$B$363,0)),"未登録")))</f>
        <v/>
      </c>
      <c r="F454" s="30">
        <f>IF($C454="","",IF($B454="YM",IFERROR(INDEX(機種マスタ!$K$4:$K$203,MATCH($C454,機種マスタ!$J$4:$J$203,0)),"-"),IFERROR(INDEX(機種マスタ!$C$4:$C$363,MATCH($C454,機種マスタ!$B$4:$B$363,0)),"-")))</f>
        <v/>
      </c>
      <c r="G454" s="30">
        <f>IF($C454="","",IF($B454="YM",IFERROR(N(INDEX(機種マスタ!$L$4:$L$203,MATCH($C454,機種マスタ!$J$4:$J$203,0))),0),IFERROR(N(INDEX(機種マスタ!$D$4:$D$363,MATCH($C454,機種マスタ!$B$4:$B$363,0))),0)))</f>
        <v/>
      </c>
      <c r="H454" s="30">
        <f>IF($C454="","",IF($D454="",1,$D454))</f>
        <v/>
      </c>
      <c r="I454" s="30">
        <f>IF($C454="","",IF(G454&gt;0,(G454+IFERROR(VLOOKUP(F454,機種マスタ!$Q$4:$R$6,2,FALSE),0))*H454,0))</f>
        <v/>
      </c>
    </row>
    <row r="455">
      <c r="A455" s="56" t="n"/>
      <c r="B455" s="41" t="n"/>
      <c r="C455" s="40" t="n"/>
      <c r="D455" s="41" t="n"/>
      <c r="E455" s="30">
        <f>IF($C455="","",IF($B455="YM",IFERROR(INDEX(機種マスタ!$I$4:$I$203,MATCH($C455,機種マスタ!$J$4:$J$203,0)),"未登録"),IFERROR(INDEX(機種マスタ!$A$4:$A$363,MATCH($C455,機種マスタ!$B$4:$B$363,0)),"未登録")))</f>
        <v/>
      </c>
      <c r="F455" s="30">
        <f>IF($C455="","",IF($B455="YM",IFERROR(INDEX(機種マスタ!$K$4:$K$203,MATCH($C455,機種マスタ!$J$4:$J$203,0)),"-"),IFERROR(INDEX(機種マスタ!$C$4:$C$363,MATCH($C455,機種マスタ!$B$4:$B$363,0)),"-")))</f>
        <v/>
      </c>
      <c r="G455" s="30">
        <f>IF($C455="","",IF($B455="YM",IFERROR(N(INDEX(機種マスタ!$L$4:$L$203,MATCH($C455,機種マスタ!$J$4:$J$203,0))),0),IFERROR(N(INDEX(機種マスタ!$D$4:$D$363,MATCH($C455,機種マスタ!$B$4:$B$363,0))),0)))</f>
        <v/>
      </c>
      <c r="H455" s="30">
        <f>IF($C455="","",IF($D455="",1,$D455))</f>
        <v/>
      </c>
      <c r="I455" s="30">
        <f>IF($C455="","",IF(G455&gt;0,(G455+IFERROR(VLOOKUP(F455,機種マスタ!$Q$4:$R$6,2,FALSE),0))*H455,0))</f>
        <v/>
      </c>
    </row>
    <row r="456">
      <c r="A456" s="56" t="n"/>
      <c r="B456" s="41" t="n"/>
      <c r="C456" s="40" t="n"/>
      <c r="D456" s="41" t="n"/>
      <c r="E456" s="30">
        <f>IF($C456="","",IF($B456="YM",IFERROR(INDEX(機種マスタ!$I$4:$I$203,MATCH($C456,機種マスタ!$J$4:$J$203,0)),"未登録"),IFERROR(INDEX(機種マスタ!$A$4:$A$363,MATCH($C456,機種マスタ!$B$4:$B$363,0)),"未登録")))</f>
        <v/>
      </c>
      <c r="F456" s="30">
        <f>IF($C456="","",IF($B456="YM",IFERROR(INDEX(機種マスタ!$K$4:$K$203,MATCH($C456,機種マスタ!$J$4:$J$203,0)),"-"),IFERROR(INDEX(機種マスタ!$C$4:$C$363,MATCH($C456,機種マスタ!$B$4:$B$363,0)),"-")))</f>
        <v/>
      </c>
      <c r="G456" s="30">
        <f>IF($C456="","",IF($B456="YM",IFERROR(N(INDEX(機種マスタ!$L$4:$L$203,MATCH($C456,機種マスタ!$J$4:$J$203,0))),0),IFERROR(N(INDEX(機種マスタ!$D$4:$D$363,MATCH($C456,機種マスタ!$B$4:$B$363,0))),0)))</f>
        <v/>
      </c>
      <c r="H456" s="30">
        <f>IF($C456="","",IF($D456="",1,$D456))</f>
        <v/>
      </c>
      <c r="I456" s="30">
        <f>IF($C456="","",IF(G456&gt;0,(G456+IFERROR(VLOOKUP(F456,機種マスタ!$Q$4:$R$6,2,FALSE),0))*H456,0))</f>
        <v/>
      </c>
    </row>
    <row r="457">
      <c r="A457" s="56" t="n"/>
      <c r="B457" s="41" t="n"/>
      <c r="C457" s="40" t="n"/>
      <c r="D457" s="41" t="n"/>
      <c r="E457" s="30">
        <f>IF($C457="","",IF($B457="YM",IFERROR(INDEX(機種マスタ!$I$4:$I$203,MATCH($C457,機種マスタ!$J$4:$J$203,0)),"未登録"),IFERROR(INDEX(機種マスタ!$A$4:$A$363,MATCH($C457,機種マスタ!$B$4:$B$363,0)),"未登録")))</f>
        <v/>
      </c>
      <c r="F457" s="30">
        <f>IF($C457="","",IF($B457="YM",IFERROR(INDEX(機種マスタ!$K$4:$K$203,MATCH($C457,機種マスタ!$J$4:$J$203,0)),"-"),IFERROR(INDEX(機種マスタ!$C$4:$C$363,MATCH($C457,機種マスタ!$B$4:$B$363,0)),"-")))</f>
        <v/>
      </c>
      <c r="G457" s="30">
        <f>IF($C457="","",IF($B457="YM",IFERROR(N(INDEX(機種マスタ!$L$4:$L$203,MATCH($C457,機種マスタ!$J$4:$J$203,0))),0),IFERROR(N(INDEX(機種マスタ!$D$4:$D$363,MATCH($C457,機種マスタ!$B$4:$B$363,0))),0)))</f>
        <v/>
      </c>
      <c r="H457" s="30">
        <f>IF($C457="","",IF($D457="",1,$D457))</f>
        <v/>
      </c>
      <c r="I457" s="30">
        <f>IF($C457="","",IF(G457&gt;0,(G457+IFERROR(VLOOKUP(F457,機種マスタ!$Q$4:$R$6,2,FALSE),0))*H457,0))</f>
        <v/>
      </c>
    </row>
    <row r="458">
      <c r="A458" s="56" t="n"/>
      <c r="B458" s="41" t="n"/>
      <c r="C458" s="40" t="n"/>
      <c r="D458" s="41" t="n"/>
      <c r="E458" s="30">
        <f>IF($C458="","",IF($B458="YM",IFERROR(INDEX(機種マスタ!$I$4:$I$203,MATCH($C458,機種マスタ!$J$4:$J$203,0)),"未登録"),IFERROR(INDEX(機種マスタ!$A$4:$A$363,MATCH($C458,機種マスタ!$B$4:$B$363,0)),"未登録")))</f>
        <v/>
      </c>
      <c r="F458" s="30">
        <f>IF($C458="","",IF($B458="YM",IFERROR(INDEX(機種マスタ!$K$4:$K$203,MATCH($C458,機種マスタ!$J$4:$J$203,0)),"-"),IFERROR(INDEX(機種マスタ!$C$4:$C$363,MATCH($C458,機種マスタ!$B$4:$B$363,0)),"-")))</f>
        <v/>
      </c>
      <c r="G458" s="30">
        <f>IF($C458="","",IF($B458="YM",IFERROR(N(INDEX(機種マスタ!$L$4:$L$203,MATCH($C458,機種マスタ!$J$4:$J$203,0))),0),IFERROR(N(INDEX(機種マスタ!$D$4:$D$363,MATCH($C458,機種マスタ!$B$4:$B$363,0))),0)))</f>
        <v/>
      </c>
      <c r="H458" s="30">
        <f>IF($C458="","",IF($D458="",1,$D458))</f>
        <v/>
      </c>
      <c r="I458" s="30">
        <f>IF($C458="","",IF(G458&gt;0,(G458+IFERROR(VLOOKUP(F458,機種マスタ!$Q$4:$R$6,2,FALSE),0))*H458,0))</f>
        <v/>
      </c>
    </row>
    <row r="459">
      <c r="A459" s="56" t="n"/>
      <c r="B459" s="41" t="n"/>
      <c r="C459" s="40" t="n"/>
      <c r="D459" s="41" t="n"/>
      <c r="E459" s="30">
        <f>IF($C459="","",IF($B459="YM",IFERROR(INDEX(機種マスタ!$I$4:$I$203,MATCH($C459,機種マスタ!$J$4:$J$203,0)),"未登録"),IFERROR(INDEX(機種マスタ!$A$4:$A$363,MATCH($C459,機種マスタ!$B$4:$B$363,0)),"未登録")))</f>
        <v/>
      </c>
      <c r="F459" s="30">
        <f>IF($C459="","",IF($B459="YM",IFERROR(INDEX(機種マスタ!$K$4:$K$203,MATCH($C459,機種マスタ!$J$4:$J$203,0)),"-"),IFERROR(INDEX(機種マスタ!$C$4:$C$363,MATCH($C459,機種マスタ!$B$4:$B$363,0)),"-")))</f>
        <v/>
      </c>
      <c r="G459" s="30">
        <f>IF($C459="","",IF($B459="YM",IFERROR(N(INDEX(機種マスタ!$L$4:$L$203,MATCH($C459,機種マスタ!$J$4:$J$203,0))),0),IFERROR(N(INDEX(機種マスタ!$D$4:$D$363,MATCH($C459,機種マスタ!$B$4:$B$363,0))),0)))</f>
        <v/>
      </c>
      <c r="H459" s="30">
        <f>IF($C459="","",IF($D459="",1,$D459))</f>
        <v/>
      </c>
      <c r="I459" s="30">
        <f>IF($C459="","",IF(G459&gt;0,(G459+IFERROR(VLOOKUP(F459,機種マスタ!$Q$4:$R$6,2,FALSE),0))*H459,0))</f>
        <v/>
      </c>
    </row>
    <row r="460">
      <c r="A460" s="56" t="n"/>
      <c r="B460" s="41" t="n"/>
      <c r="C460" s="40" t="n"/>
      <c r="D460" s="41" t="n"/>
      <c r="E460" s="30">
        <f>IF($C460="","",IF($B460="YM",IFERROR(INDEX(機種マスタ!$I$4:$I$203,MATCH($C460,機種マスタ!$J$4:$J$203,0)),"未登録"),IFERROR(INDEX(機種マスタ!$A$4:$A$363,MATCH($C460,機種マスタ!$B$4:$B$363,0)),"未登録")))</f>
        <v/>
      </c>
      <c r="F460" s="30">
        <f>IF($C460="","",IF($B460="YM",IFERROR(INDEX(機種マスタ!$K$4:$K$203,MATCH($C460,機種マスタ!$J$4:$J$203,0)),"-"),IFERROR(INDEX(機種マスタ!$C$4:$C$363,MATCH($C460,機種マスタ!$B$4:$B$363,0)),"-")))</f>
        <v/>
      </c>
      <c r="G460" s="30">
        <f>IF($C460="","",IF($B460="YM",IFERROR(N(INDEX(機種マスタ!$L$4:$L$203,MATCH($C460,機種マスタ!$J$4:$J$203,0))),0),IFERROR(N(INDEX(機種マスタ!$D$4:$D$363,MATCH($C460,機種マスタ!$B$4:$B$363,0))),0)))</f>
        <v/>
      </c>
      <c r="H460" s="30">
        <f>IF($C460="","",IF($D460="",1,$D460))</f>
        <v/>
      </c>
      <c r="I460" s="30">
        <f>IF($C460="","",IF(G460&gt;0,(G460+IFERROR(VLOOKUP(F460,機種マスタ!$Q$4:$R$6,2,FALSE),0))*H460,0))</f>
        <v/>
      </c>
    </row>
    <row r="461">
      <c r="A461" s="56" t="n"/>
      <c r="B461" s="41" t="n"/>
      <c r="C461" s="40" t="n"/>
      <c r="D461" s="41" t="n"/>
      <c r="E461" s="30">
        <f>IF($C461="","",IF($B461="YM",IFERROR(INDEX(機種マスタ!$I$4:$I$203,MATCH($C461,機種マスタ!$J$4:$J$203,0)),"未登録"),IFERROR(INDEX(機種マスタ!$A$4:$A$363,MATCH($C461,機種マスタ!$B$4:$B$363,0)),"未登録")))</f>
        <v/>
      </c>
      <c r="F461" s="30">
        <f>IF($C461="","",IF($B461="YM",IFERROR(INDEX(機種マスタ!$K$4:$K$203,MATCH($C461,機種マスタ!$J$4:$J$203,0)),"-"),IFERROR(INDEX(機種マスタ!$C$4:$C$363,MATCH($C461,機種マスタ!$B$4:$B$363,0)),"-")))</f>
        <v/>
      </c>
      <c r="G461" s="30">
        <f>IF($C461="","",IF($B461="YM",IFERROR(N(INDEX(機種マスタ!$L$4:$L$203,MATCH($C461,機種マスタ!$J$4:$J$203,0))),0),IFERROR(N(INDEX(機種マスタ!$D$4:$D$363,MATCH($C461,機種マスタ!$B$4:$B$363,0))),0)))</f>
        <v/>
      </c>
      <c r="H461" s="30">
        <f>IF($C461="","",IF($D461="",1,$D461))</f>
        <v/>
      </c>
      <c r="I461" s="30">
        <f>IF($C461="","",IF(G461&gt;0,(G461+IFERROR(VLOOKUP(F461,機種マスタ!$Q$4:$R$6,2,FALSE),0))*H461,0))</f>
        <v/>
      </c>
    </row>
    <row r="462">
      <c r="A462" s="56" t="n"/>
      <c r="B462" s="41" t="n"/>
      <c r="C462" s="40" t="n"/>
      <c r="D462" s="41" t="n"/>
      <c r="E462" s="30">
        <f>IF($C462="","",IF($B462="YM",IFERROR(INDEX(機種マスタ!$I$4:$I$203,MATCH($C462,機種マスタ!$J$4:$J$203,0)),"未登録"),IFERROR(INDEX(機種マスタ!$A$4:$A$363,MATCH($C462,機種マスタ!$B$4:$B$363,0)),"未登録")))</f>
        <v/>
      </c>
      <c r="F462" s="30">
        <f>IF($C462="","",IF($B462="YM",IFERROR(INDEX(機種マスタ!$K$4:$K$203,MATCH($C462,機種マスタ!$J$4:$J$203,0)),"-"),IFERROR(INDEX(機種マスタ!$C$4:$C$363,MATCH($C462,機種マスタ!$B$4:$B$363,0)),"-")))</f>
        <v/>
      </c>
      <c r="G462" s="30">
        <f>IF($C462="","",IF($B462="YM",IFERROR(N(INDEX(機種マスタ!$L$4:$L$203,MATCH($C462,機種マスタ!$J$4:$J$203,0))),0),IFERROR(N(INDEX(機種マスタ!$D$4:$D$363,MATCH($C462,機種マスタ!$B$4:$B$363,0))),0)))</f>
        <v/>
      </c>
      <c r="H462" s="30">
        <f>IF($C462="","",IF($D462="",1,$D462))</f>
        <v/>
      </c>
      <c r="I462" s="30">
        <f>IF($C462="","",IF(G462&gt;0,(G462+IFERROR(VLOOKUP(F462,機種マスタ!$Q$4:$R$6,2,FALSE),0))*H462,0))</f>
        <v/>
      </c>
    </row>
    <row r="463">
      <c r="A463" s="56" t="n"/>
      <c r="B463" s="41" t="n"/>
      <c r="C463" s="40" t="n"/>
      <c r="D463" s="41" t="n"/>
      <c r="E463" s="30">
        <f>IF($C463="","",IF($B463="YM",IFERROR(INDEX(機種マスタ!$I$4:$I$203,MATCH($C463,機種マスタ!$J$4:$J$203,0)),"未登録"),IFERROR(INDEX(機種マスタ!$A$4:$A$363,MATCH($C463,機種マスタ!$B$4:$B$363,0)),"未登録")))</f>
        <v/>
      </c>
      <c r="F463" s="30">
        <f>IF($C463="","",IF($B463="YM",IFERROR(INDEX(機種マスタ!$K$4:$K$203,MATCH($C463,機種マスタ!$J$4:$J$203,0)),"-"),IFERROR(INDEX(機種マスタ!$C$4:$C$363,MATCH($C463,機種マスタ!$B$4:$B$363,0)),"-")))</f>
        <v/>
      </c>
      <c r="G463" s="30">
        <f>IF($C463="","",IF($B463="YM",IFERROR(N(INDEX(機種マスタ!$L$4:$L$203,MATCH($C463,機種マスタ!$J$4:$J$203,0))),0),IFERROR(N(INDEX(機種マスタ!$D$4:$D$363,MATCH($C463,機種マスタ!$B$4:$B$363,0))),0)))</f>
        <v/>
      </c>
      <c r="H463" s="30">
        <f>IF($C463="","",IF($D463="",1,$D463))</f>
        <v/>
      </c>
      <c r="I463" s="30">
        <f>IF($C463="","",IF(G463&gt;0,(G463+IFERROR(VLOOKUP(F463,機種マスタ!$Q$4:$R$6,2,FALSE),0))*H463,0))</f>
        <v/>
      </c>
    </row>
    <row r="464">
      <c r="A464" s="56" t="n"/>
      <c r="B464" s="41" t="n"/>
      <c r="C464" s="40" t="n"/>
      <c r="D464" s="41" t="n"/>
      <c r="E464" s="30">
        <f>IF($C464="","",IF($B464="YM",IFERROR(INDEX(機種マスタ!$I$4:$I$203,MATCH($C464,機種マスタ!$J$4:$J$203,0)),"未登録"),IFERROR(INDEX(機種マスタ!$A$4:$A$363,MATCH($C464,機種マスタ!$B$4:$B$363,0)),"未登録")))</f>
        <v/>
      </c>
      <c r="F464" s="30">
        <f>IF($C464="","",IF($B464="YM",IFERROR(INDEX(機種マスタ!$K$4:$K$203,MATCH($C464,機種マスタ!$J$4:$J$203,0)),"-"),IFERROR(INDEX(機種マスタ!$C$4:$C$363,MATCH($C464,機種マスタ!$B$4:$B$363,0)),"-")))</f>
        <v/>
      </c>
      <c r="G464" s="30">
        <f>IF($C464="","",IF($B464="YM",IFERROR(N(INDEX(機種マスタ!$L$4:$L$203,MATCH($C464,機種マスタ!$J$4:$J$203,0))),0),IFERROR(N(INDEX(機種マスタ!$D$4:$D$363,MATCH($C464,機種マスタ!$B$4:$B$363,0))),0)))</f>
        <v/>
      </c>
      <c r="H464" s="30">
        <f>IF($C464="","",IF($D464="",1,$D464))</f>
        <v/>
      </c>
      <c r="I464" s="30">
        <f>IF($C464="","",IF(G464&gt;0,(G464+IFERROR(VLOOKUP(F464,機種マスタ!$Q$4:$R$6,2,FALSE),0))*H464,0))</f>
        <v/>
      </c>
    </row>
    <row r="465">
      <c r="A465" s="56" t="n"/>
      <c r="B465" s="41" t="n"/>
      <c r="C465" s="40" t="n"/>
      <c r="D465" s="41" t="n"/>
      <c r="E465" s="30">
        <f>IF($C465="","",IF($B465="YM",IFERROR(INDEX(機種マスタ!$I$4:$I$203,MATCH($C465,機種マスタ!$J$4:$J$203,0)),"未登録"),IFERROR(INDEX(機種マスタ!$A$4:$A$363,MATCH($C465,機種マスタ!$B$4:$B$363,0)),"未登録")))</f>
        <v/>
      </c>
      <c r="F465" s="30">
        <f>IF($C465="","",IF($B465="YM",IFERROR(INDEX(機種マスタ!$K$4:$K$203,MATCH($C465,機種マスタ!$J$4:$J$203,0)),"-"),IFERROR(INDEX(機種マスタ!$C$4:$C$363,MATCH($C465,機種マスタ!$B$4:$B$363,0)),"-")))</f>
        <v/>
      </c>
      <c r="G465" s="30">
        <f>IF($C465="","",IF($B465="YM",IFERROR(N(INDEX(機種マスタ!$L$4:$L$203,MATCH($C465,機種マスタ!$J$4:$J$203,0))),0),IFERROR(N(INDEX(機種マスタ!$D$4:$D$363,MATCH($C465,機種マスタ!$B$4:$B$363,0))),0)))</f>
        <v/>
      </c>
      <c r="H465" s="30">
        <f>IF($C465="","",IF($D465="",1,$D465))</f>
        <v/>
      </c>
      <c r="I465" s="30">
        <f>IF($C465="","",IF(G465&gt;0,(G465+IFERROR(VLOOKUP(F465,機種マスタ!$Q$4:$R$6,2,FALSE),0))*H465,0))</f>
        <v/>
      </c>
    </row>
    <row r="466">
      <c r="A466" s="56" t="n"/>
      <c r="B466" s="41" t="n"/>
      <c r="C466" s="40" t="n"/>
      <c r="D466" s="41" t="n"/>
      <c r="E466" s="30">
        <f>IF($C466="","",IF($B466="YM",IFERROR(INDEX(機種マスタ!$I$4:$I$203,MATCH($C466,機種マスタ!$J$4:$J$203,0)),"未登録"),IFERROR(INDEX(機種マスタ!$A$4:$A$363,MATCH($C466,機種マスタ!$B$4:$B$363,0)),"未登録")))</f>
        <v/>
      </c>
      <c r="F466" s="30">
        <f>IF($C466="","",IF($B466="YM",IFERROR(INDEX(機種マスタ!$K$4:$K$203,MATCH($C466,機種マスタ!$J$4:$J$203,0)),"-"),IFERROR(INDEX(機種マスタ!$C$4:$C$363,MATCH($C466,機種マスタ!$B$4:$B$363,0)),"-")))</f>
        <v/>
      </c>
      <c r="G466" s="30">
        <f>IF($C466="","",IF($B466="YM",IFERROR(N(INDEX(機種マスタ!$L$4:$L$203,MATCH($C466,機種マスタ!$J$4:$J$203,0))),0),IFERROR(N(INDEX(機種マスタ!$D$4:$D$363,MATCH($C466,機種マスタ!$B$4:$B$363,0))),0)))</f>
        <v/>
      </c>
      <c r="H466" s="30">
        <f>IF($C466="","",IF($D466="",1,$D466))</f>
        <v/>
      </c>
      <c r="I466" s="30">
        <f>IF($C466="","",IF(G466&gt;0,(G466+IFERROR(VLOOKUP(F466,機種マスタ!$Q$4:$R$6,2,FALSE),0))*H466,0))</f>
        <v/>
      </c>
    </row>
    <row r="467">
      <c r="A467" s="56" t="n"/>
      <c r="B467" s="41" t="n"/>
      <c r="C467" s="40" t="n"/>
      <c r="D467" s="41" t="n"/>
      <c r="E467" s="30">
        <f>IF($C467="","",IF($B467="YM",IFERROR(INDEX(機種マスタ!$I$4:$I$203,MATCH($C467,機種マスタ!$J$4:$J$203,0)),"未登録"),IFERROR(INDEX(機種マスタ!$A$4:$A$363,MATCH($C467,機種マスタ!$B$4:$B$363,0)),"未登録")))</f>
        <v/>
      </c>
      <c r="F467" s="30">
        <f>IF($C467="","",IF($B467="YM",IFERROR(INDEX(機種マスタ!$K$4:$K$203,MATCH($C467,機種マスタ!$J$4:$J$203,0)),"-"),IFERROR(INDEX(機種マスタ!$C$4:$C$363,MATCH($C467,機種マスタ!$B$4:$B$363,0)),"-")))</f>
        <v/>
      </c>
      <c r="G467" s="30">
        <f>IF($C467="","",IF($B467="YM",IFERROR(N(INDEX(機種マスタ!$L$4:$L$203,MATCH($C467,機種マスタ!$J$4:$J$203,0))),0),IFERROR(N(INDEX(機種マスタ!$D$4:$D$363,MATCH($C467,機種マスタ!$B$4:$B$363,0))),0)))</f>
        <v/>
      </c>
      <c r="H467" s="30">
        <f>IF($C467="","",IF($D467="",1,$D467))</f>
        <v/>
      </c>
      <c r="I467" s="30">
        <f>IF($C467="","",IF(G467&gt;0,(G467+IFERROR(VLOOKUP(F467,機種マスタ!$Q$4:$R$6,2,FALSE),0))*H467,0))</f>
        <v/>
      </c>
    </row>
    <row r="468">
      <c r="A468" s="56" t="n"/>
      <c r="B468" s="41" t="n"/>
      <c r="C468" s="40" t="n"/>
      <c r="D468" s="41" t="n"/>
      <c r="E468" s="30">
        <f>IF($C468="","",IF($B468="YM",IFERROR(INDEX(機種マスタ!$I$4:$I$203,MATCH($C468,機種マスタ!$J$4:$J$203,0)),"未登録"),IFERROR(INDEX(機種マスタ!$A$4:$A$363,MATCH($C468,機種マスタ!$B$4:$B$363,0)),"未登録")))</f>
        <v/>
      </c>
      <c r="F468" s="30">
        <f>IF($C468="","",IF($B468="YM",IFERROR(INDEX(機種マスタ!$K$4:$K$203,MATCH($C468,機種マスタ!$J$4:$J$203,0)),"-"),IFERROR(INDEX(機種マスタ!$C$4:$C$363,MATCH($C468,機種マスタ!$B$4:$B$363,0)),"-")))</f>
        <v/>
      </c>
      <c r="G468" s="30">
        <f>IF($C468="","",IF($B468="YM",IFERROR(N(INDEX(機種マスタ!$L$4:$L$203,MATCH($C468,機種マスタ!$J$4:$J$203,0))),0),IFERROR(N(INDEX(機種マスタ!$D$4:$D$363,MATCH($C468,機種マスタ!$B$4:$B$363,0))),0)))</f>
        <v/>
      </c>
      <c r="H468" s="30">
        <f>IF($C468="","",IF($D468="",1,$D468))</f>
        <v/>
      </c>
      <c r="I468" s="30">
        <f>IF($C468="","",IF(G468&gt;0,(G468+IFERROR(VLOOKUP(F468,機種マスタ!$Q$4:$R$6,2,FALSE),0))*H468,0))</f>
        <v/>
      </c>
    </row>
    <row r="469">
      <c r="A469" s="56" t="n"/>
      <c r="B469" s="41" t="n"/>
      <c r="C469" s="40" t="n"/>
      <c r="D469" s="41" t="n"/>
      <c r="E469" s="30">
        <f>IF($C469="","",IF($B469="YM",IFERROR(INDEX(機種マスタ!$I$4:$I$203,MATCH($C469,機種マスタ!$J$4:$J$203,0)),"未登録"),IFERROR(INDEX(機種マスタ!$A$4:$A$363,MATCH($C469,機種マスタ!$B$4:$B$363,0)),"未登録")))</f>
        <v/>
      </c>
      <c r="F469" s="30">
        <f>IF($C469="","",IF($B469="YM",IFERROR(INDEX(機種マスタ!$K$4:$K$203,MATCH($C469,機種マスタ!$J$4:$J$203,0)),"-"),IFERROR(INDEX(機種マスタ!$C$4:$C$363,MATCH($C469,機種マスタ!$B$4:$B$363,0)),"-")))</f>
        <v/>
      </c>
      <c r="G469" s="30">
        <f>IF($C469="","",IF($B469="YM",IFERROR(N(INDEX(機種マスタ!$L$4:$L$203,MATCH($C469,機種マスタ!$J$4:$J$203,0))),0),IFERROR(N(INDEX(機種マスタ!$D$4:$D$363,MATCH($C469,機種マスタ!$B$4:$B$363,0))),0)))</f>
        <v/>
      </c>
      <c r="H469" s="30">
        <f>IF($C469="","",IF($D469="",1,$D469))</f>
        <v/>
      </c>
      <c r="I469" s="30">
        <f>IF($C469="","",IF(G469&gt;0,(G469+IFERROR(VLOOKUP(F469,機種マスタ!$Q$4:$R$6,2,FALSE),0))*H469,0))</f>
        <v/>
      </c>
    </row>
    <row r="470">
      <c r="A470" s="56" t="n"/>
      <c r="B470" s="41" t="n"/>
      <c r="C470" s="40" t="n"/>
      <c r="D470" s="41" t="n"/>
      <c r="E470" s="30">
        <f>IF($C470="","",IF($B470="YM",IFERROR(INDEX(機種マスタ!$I$4:$I$203,MATCH($C470,機種マスタ!$J$4:$J$203,0)),"未登録"),IFERROR(INDEX(機種マスタ!$A$4:$A$363,MATCH($C470,機種マスタ!$B$4:$B$363,0)),"未登録")))</f>
        <v/>
      </c>
      <c r="F470" s="30">
        <f>IF($C470="","",IF($B470="YM",IFERROR(INDEX(機種マスタ!$K$4:$K$203,MATCH($C470,機種マスタ!$J$4:$J$203,0)),"-"),IFERROR(INDEX(機種マスタ!$C$4:$C$363,MATCH($C470,機種マスタ!$B$4:$B$363,0)),"-")))</f>
        <v/>
      </c>
      <c r="G470" s="30">
        <f>IF($C470="","",IF($B470="YM",IFERROR(N(INDEX(機種マスタ!$L$4:$L$203,MATCH($C470,機種マスタ!$J$4:$J$203,0))),0),IFERROR(N(INDEX(機種マスタ!$D$4:$D$363,MATCH($C470,機種マスタ!$B$4:$B$363,0))),0)))</f>
        <v/>
      </c>
      <c r="H470" s="30">
        <f>IF($C470="","",IF($D470="",1,$D470))</f>
        <v/>
      </c>
      <c r="I470" s="30">
        <f>IF($C470="","",IF(G470&gt;0,(G470+IFERROR(VLOOKUP(F470,機種マスタ!$Q$4:$R$6,2,FALSE),0))*H470,0))</f>
        <v/>
      </c>
    </row>
    <row r="471">
      <c r="A471" s="56" t="n"/>
      <c r="B471" s="41" t="n"/>
      <c r="C471" s="40" t="n"/>
      <c r="D471" s="41" t="n"/>
      <c r="E471" s="30">
        <f>IF($C471="","",IF($B471="YM",IFERROR(INDEX(機種マスタ!$I$4:$I$203,MATCH($C471,機種マスタ!$J$4:$J$203,0)),"未登録"),IFERROR(INDEX(機種マスタ!$A$4:$A$363,MATCH($C471,機種マスタ!$B$4:$B$363,0)),"未登録")))</f>
        <v/>
      </c>
      <c r="F471" s="30">
        <f>IF($C471="","",IF($B471="YM",IFERROR(INDEX(機種マスタ!$K$4:$K$203,MATCH($C471,機種マスタ!$J$4:$J$203,0)),"-"),IFERROR(INDEX(機種マスタ!$C$4:$C$363,MATCH($C471,機種マスタ!$B$4:$B$363,0)),"-")))</f>
        <v/>
      </c>
      <c r="G471" s="30">
        <f>IF($C471="","",IF($B471="YM",IFERROR(N(INDEX(機種マスタ!$L$4:$L$203,MATCH($C471,機種マスタ!$J$4:$J$203,0))),0),IFERROR(N(INDEX(機種マスタ!$D$4:$D$363,MATCH($C471,機種マスタ!$B$4:$B$363,0))),0)))</f>
        <v/>
      </c>
      <c r="H471" s="30">
        <f>IF($C471="","",IF($D471="",1,$D471))</f>
        <v/>
      </c>
      <c r="I471" s="30">
        <f>IF($C471="","",IF(G471&gt;0,(G471+IFERROR(VLOOKUP(F471,機種マスタ!$Q$4:$R$6,2,FALSE),0))*H471,0))</f>
        <v/>
      </c>
    </row>
    <row r="472">
      <c r="A472" s="56" t="n"/>
      <c r="B472" s="41" t="n"/>
      <c r="C472" s="40" t="n"/>
      <c r="D472" s="41" t="n"/>
      <c r="E472" s="30">
        <f>IF($C472="","",IF($B472="YM",IFERROR(INDEX(機種マスタ!$I$4:$I$203,MATCH($C472,機種マスタ!$J$4:$J$203,0)),"未登録"),IFERROR(INDEX(機種マスタ!$A$4:$A$363,MATCH($C472,機種マスタ!$B$4:$B$363,0)),"未登録")))</f>
        <v/>
      </c>
      <c r="F472" s="30">
        <f>IF($C472="","",IF($B472="YM",IFERROR(INDEX(機種マスタ!$K$4:$K$203,MATCH($C472,機種マスタ!$J$4:$J$203,0)),"-"),IFERROR(INDEX(機種マスタ!$C$4:$C$363,MATCH($C472,機種マスタ!$B$4:$B$363,0)),"-")))</f>
        <v/>
      </c>
      <c r="G472" s="30">
        <f>IF($C472="","",IF($B472="YM",IFERROR(N(INDEX(機種マスタ!$L$4:$L$203,MATCH($C472,機種マスタ!$J$4:$J$203,0))),0),IFERROR(N(INDEX(機種マスタ!$D$4:$D$363,MATCH($C472,機種マスタ!$B$4:$B$363,0))),0)))</f>
        <v/>
      </c>
      <c r="H472" s="30">
        <f>IF($C472="","",IF($D472="",1,$D472))</f>
        <v/>
      </c>
      <c r="I472" s="30">
        <f>IF($C472="","",IF(G472&gt;0,(G472+IFERROR(VLOOKUP(F472,機種マスタ!$Q$4:$R$6,2,FALSE),0))*H472,0))</f>
        <v/>
      </c>
    </row>
    <row r="473">
      <c r="A473" s="56" t="n"/>
      <c r="B473" s="41" t="n"/>
      <c r="C473" s="40" t="n"/>
      <c r="D473" s="41" t="n"/>
      <c r="E473" s="30">
        <f>IF($C473="","",IF($B473="YM",IFERROR(INDEX(機種マスタ!$I$4:$I$203,MATCH($C473,機種マスタ!$J$4:$J$203,0)),"未登録"),IFERROR(INDEX(機種マスタ!$A$4:$A$363,MATCH($C473,機種マスタ!$B$4:$B$363,0)),"未登録")))</f>
        <v/>
      </c>
      <c r="F473" s="30">
        <f>IF($C473="","",IF($B473="YM",IFERROR(INDEX(機種マスタ!$K$4:$K$203,MATCH($C473,機種マスタ!$J$4:$J$203,0)),"-"),IFERROR(INDEX(機種マスタ!$C$4:$C$363,MATCH($C473,機種マスタ!$B$4:$B$363,0)),"-")))</f>
        <v/>
      </c>
      <c r="G473" s="30">
        <f>IF($C473="","",IF($B473="YM",IFERROR(N(INDEX(機種マスタ!$L$4:$L$203,MATCH($C473,機種マスタ!$J$4:$J$203,0))),0),IFERROR(N(INDEX(機種マスタ!$D$4:$D$363,MATCH($C473,機種マスタ!$B$4:$B$363,0))),0)))</f>
        <v/>
      </c>
      <c r="H473" s="30">
        <f>IF($C473="","",IF($D473="",1,$D473))</f>
        <v/>
      </c>
      <c r="I473" s="30">
        <f>IF($C473="","",IF(G473&gt;0,(G473+IFERROR(VLOOKUP(F473,機種マスタ!$Q$4:$R$6,2,FALSE),0))*H473,0))</f>
        <v/>
      </c>
    </row>
    <row r="474">
      <c r="A474" s="56" t="n"/>
      <c r="B474" s="41" t="n"/>
      <c r="C474" s="40" t="n"/>
      <c r="D474" s="41" t="n"/>
      <c r="E474" s="30">
        <f>IF($C474="","",IF($B474="YM",IFERROR(INDEX(機種マスタ!$I$4:$I$203,MATCH($C474,機種マスタ!$J$4:$J$203,0)),"未登録"),IFERROR(INDEX(機種マスタ!$A$4:$A$363,MATCH($C474,機種マスタ!$B$4:$B$363,0)),"未登録")))</f>
        <v/>
      </c>
      <c r="F474" s="30">
        <f>IF($C474="","",IF($B474="YM",IFERROR(INDEX(機種マスタ!$K$4:$K$203,MATCH($C474,機種マスタ!$J$4:$J$203,0)),"-"),IFERROR(INDEX(機種マスタ!$C$4:$C$363,MATCH($C474,機種マスタ!$B$4:$B$363,0)),"-")))</f>
        <v/>
      </c>
      <c r="G474" s="30">
        <f>IF($C474="","",IF($B474="YM",IFERROR(N(INDEX(機種マスタ!$L$4:$L$203,MATCH($C474,機種マスタ!$J$4:$J$203,0))),0),IFERROR(N(INDEX(機種マスタ!$D$4:$D$363,MATCH($C474,機種マスタ!$B$4:$B$363,0))),0)))</f>
        <v/>
      </c>
      <c r="H474" s="30">
        <f>IF($C474="","",IF($D474="",1,$D474))</f>
        <v/>
      </c>
      <c r="I474" s="30">
        <f>IF($C474="","",IF(G474&gt;0,(G474+IFERROR(VLOOKUP(F474,機種マスタ!$Q$4:$R$6,2,FALSE),0))*H474,0))</f>
        <v/>
      </c>
    </row>
    <row r="475">
      <c r="A475" s="56" t="n"/>
      <c r="B475" s="41" t="n"/>
      <c r="C475" s="40" t="n"/>
      <c r="D475" s="41" t="n"/>
      <c r="E475" s="30">
        <f>IF($C475="","",IF($B475="YM",IFERROR(INDEX(機種マスタ!$I$4:$I$203,MATCH($C475,機種マスタ!$J$4:$J$203,0)),"未登録"),IFERROR(INDEX(機種マスタ!$A$4:$A$363,MATCH($C475,機種マスタ!$B$4:$B$363,0)),"未登録")))</f>
        <v/>
      </c>
      <c r="F475" s="30">
        <f>IF($C475="","",IF($B475="YM",IFERROR(INDEX(機種マスタ!$K$4:$K$203,MATCH($C475,機種マスタ!$J$4:$J$203,0)),"-"),IFERROR(INDEX(機種マスタ!$C$4:$C$363,MATCH($C475,機種マスタ!$B$4:$B$363,0)),"-")))</f>
        <v/>
      </c>
      <c r="G475" s="30">
        <f>IF($C475="","",IF($B475="YM",IFERROR(N(INDEX(機種マスタ!$L$4:$L$203,MATCH($C475,機種マスタ!$J$4:$J$203,0))),0),IFERROR(N(INDEX(機種マスタ!$D$4:$D$363,MATCH($C475,機種マスタ!$B$4:$B$363,0))),0)))</f>
        <v/>
      </c>
      <c r="H475" s="30">
        <f>IF($C475="","",IF($D475="",1,$D475))</f>
        <v/>
      </c>
      <c r="I475" s="30">
        <f>IF($C475="","",IF(G475&gt;0,(G475+IFERROR(VLOOKUP(F475,機種マスタ!$Q$4:$R$6,2,FALSE),0))*H475,0))</f>
        <v/>
      </c>
    </row>
    <row r="476">
      <c r="A476" s="56" t="n"/>
      <c r="B476" s="41" t="n"/>
      <c r="C476" s="40" t="n"/>
      <c r="D476" s="41" t="n"/>
      <c r="E476" s="30">
        <f>IF($C476="","",IF($B476="YM",IFERROR(INDEX(機種マスタ!$I$4:$I$203,MATCH($C476,機種マスタ!$J$4:$J$203,0)),"未登録"),IFERROR(INDEX(機種マスタ!$A$4:$A$363,MATCH($C476,機種マスタ!$B$4:$B$363,0)),"未登録")))</f>
        <v/>
      </c>
      <c r="F476" s="30">
        <f>IF($C476="","",IF($B476="YM",IFERROR(INDEX(機種マスタ!$K$4:$K$203,MATCH($C476,機種マスタ!$J$4:$J$203,0)),"-"),IFERROR(INDEX(機種マスタ!$C$4:$C$363,MATCH($C476,機種マスタ!$B$4:$B$363,0)),"-")))</f>
        <v/>
      </c>
      <c r="G476" s="30">
        <f>IF($C476="","",IF($B476="YM",IFERROR(N(INDEX(機種マスタ!$L$4:$L$203,MATCH($C476,機種マスタ!$J$4:$J$203,0))),0),IFERROR(N(INDEX(機種マスタ!$D$4:$D$363,MATCH($C476,機種マスタ!$B$4:$B$363,0))),0)))</f>
        <v/>
      </c>
      <c r="H476" s="30">
        <f>IF($C476="","",IF($D476="",1,$D476))</f>
        <v/>
      </c>
      <c r="I476" s="30">
        <f>IF($C476="","",IF(G476&gt;0,(G476+IFERROR(VLOOKUP(F476,機種マスタ!$Q$4:$R$6,2,FALSE),0))*H476,0))</f>
        <v/>
      </c>
    </row>
    <row r="477">
      <c r="A477" s="56" t="n"/>
      <c r="B477" s="41" t="n"/>
      <c r="C477" s="40" t="n"/>
      <c r="D477" s="41" t="n"/>
      <c r="E477" s="30">
        <f>IF($C477="","",IF($B477="YM",IFERROR(INDEX(機種マスタ!$I$4:$I$203,MATCH($C477,機種マスタ!$J$4:$J$203,0)),"未登録"),IFERROR(INDEX(機種マスタ!$A$4:$A$363,MATCH($C477,機種マスタ!$B$4:$B$363,0)),"未登録")))</f>
        <v/>
      </c>
      <c r="F477" s="30">
        <f>IF($C477="","",IF($B477="YM",IFERROR(INDEX(機種マスタ!$K$4:$K$203,MATCH($C477,機種マスタ!$J$4:$J$203,0)),"-"),IFERROR(INDEX(機種マスタ!$C$4:$C$363,MATCH($C477,機種マスタ!$B$4:$B$363,0)),"-")))</f>
        <v/>
      </c>
      <c r="G477" s="30">
        <f>IF($C477="","",IF($B477="YM",IFERROR(N(INDEX(機種マスタ!$L$4:$L$203,MATCH($C477,機種マスタ!$J$4:$J$203,0))),0),IFERROR(N(INDEX(機種マスタ!$D$4:$D$363,MATCH($C477,機種マスタ!$B$4:$B$363,0))),0)))</f>
        <v/>
      </c>
      <c r="H477" s="30">
        <f>IF($C477="","",IF($D477="",1,$D477))</f>
        <v/>
      </c>
      <c r="I477" s="30">
        <f>IF($C477="","",IF(G477&gt;0,(G477+IFERROR(VLOOKUP(F477,機種マスタ!$Q$4:$R$6,2,FALSE),0))*H477,0))</f>
        <v/>
      </c>
    </row>
    <row r="478">
      <c r="A478" s="56" t="n"/>
      <c r="B478" s="41" t="n"/>
      <c r="C478" s="40" t="n"/>
      <c r="D478" s="41" t="n"/>
      <c r="E478" s="30">
        <f>IF($C478="","",IF($B478="YM",IFERROR(INDEX(機種マスタ!$I$4:$I$203,MATCH($C478,機種マスタ!$J$4:$J$203,0)),"未登録"),IFERROR(INDEX(機種マスタ!$A$4:$A$363,MATCH($C478,機種マスタ!$B$4:$B$363,0)),"未登録")))</f>
        <v/>
      </c>
      <c r="F478" s="30">
        <f>IF($C478="","",IF($B478="YM",IFERROR(INDEX(機種マスタ!$K$4:$K$203,MATCH($C478,機種マスタ!$J$4:$J$203,0)),"-"),IFERROR(INDEX(機種マスタ!$C$4:$C$363,MATCH($C478,機種マスタ!$B$4:$B$363,0)),"-")))</f>
        <v/>
      </c>
      <c r="G478" s="30">
        <f>IF($C478="","",IF($B478="YM",IFERROR(N(INDEX(機種マスタ!$L$4:$L$203,MATCH($C478,機種マスタ!$J$4:$J$203,0))),0),IFERROR(N(INDEX(機種マスタ!$D$4:$D$363,MATCH($C478,機種マスタ!$B$4:$B$363,0))),0)))</f>
        <v/>
      </c>
      <c r="H478" s="30">
        <f>IF($C478="","",IF($D478="",1,$D478))</f>
        <v/>
      </c>
      <c r="I478" s="30">
        <f>IF($C478="","",IF(G478&gt;0,(G478+IFERROR(VLOOKUP(F478,機種マスタ!$Q$4:$R$6,2,FALSE),0))*H478,0))</f>
        <v/>
      </c>
    </row>
    <row r="479">
      <c r="A479" s="56" t="n"/>
      <c r="B479" s="41" t="n"/>
      <c r="C479" s="40" t="n"/>
      <c r="D479" s="41" t="n"/>
      <c r="E479" s="30">
        <f>IF($C479="","",IF($B479="YM",IFERROR(INDEX(機種マスタ!$I$4:$I$203,MATCH($C479,機種マスタ!$J$4:$J$203,0)),"未登録"),IFERROR(INDEX(機種マスタ!$A$4:$A$363,MATCH($C479,機種マスタ!$B$4:$B$363,0)),"未登録")))</f>
        <v/>
      </c>
      <c r="F479" s="30">
        <f>IF($C479="","",IF($B479="YM",IFERROR(INDEX(機種マスタ!$K$4:$K$203,MATCH($C479,機種マスタ!$J$4:$J$203,0)),"-"),IFERROR(INDEX(機種マスタ!$C$4:$C$363,MATCH($C479,機種マスタ!$B$4:$B$363,0)),"-")))</f>
        <v/>
      </c>
      <c r="G479" s="30">
        <f>IF($C479="","",IF($B479="YM",IFERROR(N(INDEX(機種マスタ!$L$4:$L$203,MATCH($C479,機種マスタ!$J$4:$J$203,0))),0),IFERROR(N(INDEX(機種マスタ!$D$4:$D$363,MATCH($C479,機種マスタ!$B$4:$B$363,0))),0)))</f>
        <v/>
      </c>
      <c r="H479" s="30">
        <f>IF($C479="","",IF($D479="",1,$D479))</f>
        <v/>
      </c>
      <c r="I479" s="30">
        <f>IF($C479="","",IF(G479&gt;0,(G479+IFERROR(VLOOKUP(F479,機種マスタ!$Q$4:$R$6,2,FALSE),0))*H479,0))</f>
        <v/>
      </c>
    </row>
    <row r="480">
      <c r="A480" s="56" t="n"/>
      <c r="B480" s="41" t="n"/>
      <c r="C480" s="40" t="n"/>
      <c r="D480" s="41" t="n"/>
      <c r="E480" s="30">
        <f>IF($C480="","",IF($B480="YM",IFERROR(INDEX(機種マスタ!$I$4:$I$203,MATCH($C480,機種マスタ!$J$4:$J$203,0)),"未登録"),IFERROR(INDEX(機種マスタ!$A$4:$A$363,MATCH($C480,機種マスタ!$B$4:$B$363,0)),"未登録")))</f>
        <v/>
      </c>
      <c r="F480" s="30">
        <f>IF($C480="","",IF($B480="YM",IFERROR(INDEX(機種マスタ!$K$4:$K$203,MATCH($C480,機種マスタ!$J$4:$J$203,0)),"-"),IFERROR(INDEX(機種マスタ!$C$4:$C$363,MATCH($C480,機種マスタ!$B$4:$B$363,0)),"-")))</f>
        <v/>
      </c>
      <c r="G480" s="30">
        <f>IF($C480="","",IF($B480="YM",IFERROR(N(INDEX(機種マスタ!$L$4:$L$203,MATCH($C480,機種マスタ!$J$4:$J$203,0))),0),IFERROR(N(INDEX(機種マスタ!$D$4:$D$363,MATCH($C480,機種マスタ!$B$4:$B$363,0))),0)))</f>
        <v/>
      </c>
      <c r="H480" s="30">
        <f>IF($C480="","",IF($D480="",1,$D480))</f>
        <v/>
      </c>
      <c r="I480" s="30">
        <f>IF($C480="","",IF(G480&gt;0,(G480+IFERROR(VLOOKUP(F480,機種マスタ!$Q$4:$R$6,2,FALSE),0))*H480,0))</f>
        <v/>
      </c>
    </row>
    <row r="481">
      <c r="A481" s="56" t="n"/>
      <c r="B481" s="41" t="n"/>
      <c r="C481" s="40" t="n"/>
      <c r="D481" s="41" t="n"/>
      <c r="E481" s="30">
        <f>IF($C481="","",IF($B481="YM",IFERROR(INDEX(機種マスタ!$I$4:$I$203,MATCH($C481,機種マスタ!$J$4:$J$203,0)),"未登録"),IFERROR(INDEX(機種マスタ!$A$4:$A$363,MATCH($C481,機種マスタ!$B$4:$B$363,0)),"未登録")))</f>
        <v/>
      </c>
      <c r="F481" s="30">
        <f>IF($C481="","",IF($B481="YM",IFERROR(INDEX(機種マスタ!$K$4:$K$203,MATCH($C481,機種マスタ!$J$4:$J$203,0)),"-"),IFERROR(INDEX(機種マスタ!$C$4:$C$363,MATCH($C481,機種マスタ!$B$4:$B$363,0)),"-")))</f>
        <v/>
      </c>
      <c r="G481" s="30">
        <f>IF($C481="","",IF($B481="YM",IFERROR(N(INDEX(機種マスタ!$L$4:$L$203,MATCH($C481,機種マスタ!$J$4:$J$203,0))),0),IFERROR(N(INDEX(機種マスタ!$D$4:$D$363,MATCH($C481,機種マスタ!$B$4:$B$363,0))),0)))</f>
        <v/>
      </c>
      <c r="H481" s="30">
        <f>IF($C481="","",IF($D481="",1,$D481))</f>
        <v/>
      </c>
      <c r="I481" s="30">
        <f>IF($C481="","",IF(G481&gt;0,(G481+IFERROR(VLOOKUP(F481,機種マスタ!$Q$4:$R$6,2,FALSE),0))*H481,0))</f>
        <v/>
      </c>
    </row>
    <row r="482">
      <c r="A482" s="56" t="n"/>
      <c r="B482" s="41" t="n"/>
      <c r="C482" s="40" t="n"/>
      <c r="D482" s="41" t="n"/>
      <c r="E482" s="30">
        <f>IF($C482="","",IF($B482="YM",IFERROR(INDEX(機種マスタ!$I$4:$I$203,MATCH($C482,機種マスタ!$J$4:$J$203,0)),"未登録"),IFERROR(INDEX(機種マスタ!$A$4:$A$363,MATCH($C482,機種マスタ!$B$4:$B$363,0)),"未登録")))</f>
        <v/>
      </c>
      <c r="F482" s="30">
        <f>IF($C482="","",IF($B482="YM",IFERROR(INDEX(機種マスタ!$K$4:$K$203,MATCH($C482,機種マスタ!$J$4:$J$203,0)),"-"),IFERROR(INDEX(機種マスタ!$C$4:$C$363,MATCH($C482,機種マスタ!$B$4:$B$363,0)),"-")))</f>
        <v/>
      </c>
      <c r="G482" s="30">
        <f>IF($C482="","",IF($B482="YM",IFERROR(N(INDEX(機種マスタ!$L$4:$L$203,MATCH($C482,機種マスタ!$J$4:$J$203,0))),0),IFERROR(N(INDEX(機種マスタ!$D$4:$D$363,MATCH($C482,機種マスタ!$B$4:$B$363,0))),0)))</f>
        <v/>
      </c>
      <c r="H482" s="30">
        <f>IF($C482="","",IF($D482="",1,$D482))</f>
        <v/>
      </c>
      <c r="I482" s="30">
        <f>IF($C482="","",IF(G482&gt;0,(G482+IFERROR(VLOOKUP(F482,機種マスタ!$Q$4:$R$6,2,FALSE),0))*H482,0))</f>
        <v/>
      </c>
    </row>
    <row r="483">
      <c r="A483" s="56" t="n"/>
      <c r="B483" s="41" t="n"/>
      <c r="C483" s="40" t="n"/>
      <c r="D483" s="41" t="n"/>
      <c r="E483" s="30">
        <f>IF($C483="","",IF($B483="YM",IFERROR(INDEX(機種マスタ!$I$4:$I$203,MATCH($C483,機種マスタ!$J$4:$J$203,0)),"未登録"),IFERROR(INDEX(機種マスタ!$A$4:$A$363,MATCH($C483,機種マスタ!$B$4:$B$363,0)),"未登録")))</f>
        <v/>
      </c>
      <c r="F483" s="30">
        <f>IF($C483="","",IF($B483="YM",IFERROR(INDEX(機種マスタ!$K$4:$K$203,MATCH($C483,機種マスタ!$J$4:$J$203,0)),"-"),IFERROR(INDEX(機種マスタ!$C$4:$C$363,MATCH($C483,機種マスタ!$B$4:$B$363,0)),"-")))</f>
        <v/>
      </c>
      <c r="G483" s="30">
        <f>IF($C483="","",IF($B483="YM",IFERROR(N(INDEX(機種マスタ!$L$4:$L$203,MATCH($C483,機種マスタ!$J$4:$J$203,0))),0),IFERROR(N(INDEX(機種マスタ!$D$4:$D$363,MATCH($C483,機種マスタ!$B$4:$B$363,0))),0)))</f>
        <v/>
      </c>
      <c r="H483" s="30">
        <f>IF($C483="","",IF($D483="",1,$D483))</f>
        <v/>
      </c>
      <c r="I483" s="30">
        <f>IF($C483="","",IF(G483&gt;0,(G483+IFERROR(VLOOKUP(F483,機種マスタ!$Q$4:$R$6,2,FALSE),0))*H483,0))</f>
        <v/>
      </c>
    </row>
    <row r="484">
      <c r="A484" s="56" t="n"/>
      <c r="B484" s="41" t="n"/>
      <c r="C484" s="40" t="n"/>
      <c r="D484" s="41" t="n"/>
      <c r="E484" s="30">
        <f>IF($C484="","",IF($B484="YM",IFERROR(INDEX(機種マスタ!$I$4:$I$203,MATCH($C484,機種マスタ!$J$4:$J$203,0)),"未登録"),IFERROR(INDEX(機種マスタ!$A$4:$A$363,MATCH($C484,機種マスタ!$B$4:$B$363,0)),"未登録")))</f>
        <v/>
      </c>
      <c r="F484" s="30">
        <f>IF($C484="","",IF($B484="YM",IFERROR(INDEX(機種マスタ!$K$4:$K$203,MATCH($C484,機種マスタ!$J$4:$J$203,0)),"-"),IFERROR(INDEX(機種マスタ!$C$4:$C$363,MATCH($C484,機種マスタ!$B$4:$B$363,0)),"-")))</f>
        <v/>
      </c>
      <c r="G484" s="30">
        <f>IF($C484="","",IF($B484="YM",IFERROR(N(INDEX(機種マスタ!$L$4:$L$203,MATCH($C484,機種マスタ!$J$4:$J$203,0))),0),IFERROR(N(INDEX(機種マスタ!$D$4:$D$363,MATCH($C484,機種マスタ!$B$4:$B$363,0))),0)))</f>
        <v/>
      </c>
      <c r="H484" s="30">
        <f>IF($C484="","",IF($D484="",1,$D484))</f>
        <v/>
      </c>
      <c r="I484" s="30">
        <f>IF($C484="","",IF(G484&gt;0,(G484+IFERROR(VLOOKUP(F484,機種マスタ!$Q$4:$R$6,2,FALSE),0))*H484,0))</f>
        <v/>
      </c>
    </row>
    <row r="485">
      <c r="A485" s="56" t="n"/>
      <c r="B485" s="41" t="n"/>
      <c r="C485" s="40" t="n"/>
      <c r="D485" s="41" t="n"/>
      <c r="E485" s="30">
        <f>IF($C485="","",IF($B485="YM",IFERROR(INDEX(機種マスタ!$I$4:$I$203,MATCH($C485,機種マスタ!$J$4:$J$203,0)),"未登録"),IFERROR(INDEX(機種マスタ!$A$4:$A$363,MATCH($C485,機種マスタ!$B$4:$B$363,0)),"未登録")))</f>
        <v/>
      </c>
      <c r="F485" s="30">
        <f>IF($C485="","",IF($B485="YM",IFERROR(INDEX(機種マスタ!$K$4:$K$203,MATCH($C485,機種マスタ!$J$4:$J$203,0)),"-"),IFERROR(INDEX(機種マスタ!$C$4:$C$363,MATCH($C485,機種マスタ!$B$4:$B$363,0)),"-")))</f>
        <v/>
      </c>
      <c r="G485" s="30">
        <f>IF($C485="","",IF($B485="YM",IFERROR(N(INDEX(機種マスタ!$L$4:$L$203,MATCH($C485,機種マスタ!$J$4:$J$203,0))),0),IFERROR(N(INDEX(機種マスタ!$D$4:$D$363,MATCH($C485,機種マスタ!$B$4:$B$363,0))),0)))</f>
        <v/>
      </c>
      <c r="H485" s="30">
        <f>IF($C485="","",IF($D485="",1,$D485))</f>
        <v/>
      </c>
      <c r="I485" s="30">
        <f>IF($C485="","",IF(G485&gt;0,(G485+IFERROR(VLOOKUP(F485,機種マスタ!$Q$4:$R$6,2,FALSE),0))*H485,0))</f>
        <v/>
      </c>
    </row>
    <row r="486">
      <c r="A486" s="56" t="n"/>
      <c r="B486" s="41" t="n"/>
      <c r="C486" s="40" t="n"/>
      <c r="D486" s="41" t="n"/>
      <c r="E486" s="30">
        <f>IF($C486="","",IF($B486="YM",IFERROR(INDEX(機種マスタ!$I$4:$I$203,MATCH($C486,機種マスタ!$J$4:$J$203,0)),"未登録"),IFERROR(INDEX(機種マスタ!$A$4:$A$363,MATCH($C486,機種マスタ!$B$4:$B$363,0)),"未登録")))</f>
        <v/>
      </c>
      <c r="F486" s="30">
        <f>IF($C486="","",IF($B486="YM",IFERROR(INDEX(機種マスタ!$K$4:$K$203,MATCH($C486,機種マスタ!$J$4:$J$203,0)),"-"),IFERROR(INDEX(機種マスタ!$C$4:$C$363,MATCH($C486,機種マスタ!$B$4:$B$363,0)),"-")))</f>
        <v/>
      </c>
      <c r="G486" s="30">
        <f>IF($C486="","",IF($B486="YM",IFERROR(N(INDEX(機種マスタ!$L$4:$L$203,MATCH($C486,機種マスタ!$J$4:$J$203,0))),0),IFERROR(N(INDEX(機種マスタ!$D$4:$D$363,MATCH($C486,機種マスタ!$B$4:$B$363,0))),0)))</f>
        <v/>
      </c>
      <c r="H486" s="30">
        <f>IF($C486="","",IF($D486="",1,$D486))</f>
        <v/>
      </c>
      <c r="I486" s="30">
        <f>IF($C486="","",IF(G486&gt;0,(G486+IFERROR(VLOOKUP(F486,機種マスタ!$Q$4:$R$6,2,FALSE),0))*H486,0))</f>
        <v/>
      </c>
    </row>
    <row r="487">
      <c r="A487" s="56" t="n"/>
      <c r="B487" s="41" t="n"/>
      <c r="C487" s="40" t="n"/>
      <c r="D487" s="41" t="n"/>
      <c r="E487" s="30">
        <f>IF($C487="","",IF($B487="YM",IFERROR(INDEX(機種マスタ!$I$4:$I$203,MATCH($C487,機種マスタ!$J$4:$J$203,0)),"未登録"),IFERROR(INDEX(機種マスタ!$A$4:$A$363,MATCH($C487,機種マスタ!$B$4:$B$363,0)),"未登録")))</f>
        <v/>
      </c>
      <c r="F487" s="30">
        <f>IF($C487="","",IF($B487="YM",IFERROR(INDEX(機種マスタ!$K$4:$K$203,MATCH($C487,機種マスタ!$J$4:$J$203,0)),"-"),IFERROR(INDEX(機種マスタ!$C$4:$C$363,MATCH($C487,機種マスタ!$B$4:$B$363,0)),"-")))</f>
        <v/>
      </c>
      <c r="G487" s="30">
        <f>IF($C487="","",IF($B487="YM",IFERROR(N(INDEX(機種マスタ!$L$4:$L$203,MATCH($C487,機種マスタ!$J$4:$J$203,0))),0),IFERROR(N(INDEX(機種マスタ!$D$4:$D$363,MATCH($C487,機種マスタ!$B$4:$B$363,0))),0)))</f>
        <v/>
      </c>
      <c r="H487" s="30">
        <f>IF($C487="","",IF($D487="",1,$D487))</f>
        <v/>
      </c>
      <c r="I487" s="30">
        <f>IF($C487="","",IF(G487&gt;0,(G487+IFERROR(VLOOKUP(F487,機種マスタ!$Q$4:$R$6,2,FALSE),0))*H487,0))</f>
        <v/>
      </c>
    </row>
    <row r="488">
      <c r="A488" s="56" t="n"/>
      <c r="B488" s="41" t="n"/>
      <c r="C488" s="40" t="n"/>
      <c r="D488" s="41" t="n"/>
      <c r="E488" s="30">
        <f>IF($C488="","",IF($B488="YM",IFERROR(INDEX(機種マスタ!$I$4:$I$203,MATCH($C488,機種マスタ!$J$4:$J$203,0)),"未登録"),IFERROR(INDEX(機種マスタ!$A$4:$A$363,MATCH($C488,機種マスタ!$B$4:$B$363,0)),"未登録")))</f>
        <v/>
      </c>
      <c r="F488" s="30">
        <f>IF($C488="","",IF($B488="YM",IFERROR(INDEX(機種マスタ!$K$4:$K$203,MATCH($C488,機種マスタ!$J$4:$J$203,0)),"-"),IFERROR(INDEX(機種マスタ!$C$4:$C$363,MATCH($C488,機種マスタ!$B$4:$B$363,0)),"-")))</f>
        <v/>
      </c>
      <c r="G488" s="30">
        <f>IF($C488="","",IF($B488="YM",IFERROR(N(INDEX(機種マスタ!$L$4:$L$203,MATCH($C488,機種マスタ!$J$4:$J$203,0))),0),IFERROR(N(INDEX(機種マスタ!$D$4:$D$363,MATCH($C488,機種マスタ!$B$4:$B$363,0))),0)))</f>
        <v/>
      </c>
      <c r="H488" s="30">
        <f>IF($C488="","",IF($D488="",1,$D488))</f>
        <v/>
      </c>
      <c r="I488" s="30">
        <f>IF($C488="","",IF(G488&gt;0,(G488+IFERROR(VLOOKUP(F488,機種マスタ!$Q$4:$R$6,2,FALSE),0))*H488,0))</f>
        <v/>
      </c>
    </row>
    <row r="489">
      <c r="A489" s="56" t="n"/>
      <c r="B489" s="41" t="n"/>
      <c r="C489" s="40" t="n"/>
      <c r="D489" s="41" t="n"/>
      <c r="E489" s="30">
        <f>IF($C489="","",IF($B489="YM",IFERROR(INDEX(機種マスタ!$I$4:$I$203,MATCH($C489,機種マスタ!$J$4:$J$203,0)),"未登録"),IFERROR(INDEX(機種マスタ!$A$4:$A$363,MATCH($C489,機種マスタ!$B$4:$B$363,0)),"未登録")))</f>
        <v/>
      </c>
      <c r="F489" s="30">
        <f>IF($C489="","",IF($B489="YM",IFERROR(INDEX(機種マスタ!$K$4:$K$203,MATCH($C489,機種マスタ!$J$4:$J$203,0)),"-"),IFERROR(INDEX(機種マスタ!$C$4:$C$363,MATCH($C489,機種マスタ!$B$4:$B$363,0)),"-")))</f>
        <v/>
      </c>
      <c r="G489" s="30">
        <f>IF($C489="","",IF($B489="YM",IFERROR(N(INDEX(機種マスタ!$L$4:$L$203,MATCH($C489,機種マスタ!$J$4:$J$203,0))),0),IFERROR(N(INDEX(機種マスタ!$D$4:$D$363,MATCH($C489,機種マスタ!$B$4:$B$363,0))),0)))</f>
        <v/>
      </c>
      <c r="H489" s="30">
        <f>IF($C489="","",IF($D489="",1,$D489))</f>
        <v/>
      </c>
      <c r="I489" s="30">
        <f>IF($C489="","",IF(G489&gt;0,(G489+IFERROR(VLOOKUP(F489,機種マスタ!$Q$4:$R$6,2,FALSE),0))*H489,0))</f>
        <v/>
      </c>
    </row>
    <row r="490">
      <c r="A490" s="56" t="n"/>
      <c r="B490" s="41" t="n"/>
      <c r="C490" s="40" t="n"/>
      <c r="D490" s="41" t="n"/>
      <c r="E490" s="30">
        <f>IF($C490="","",IF($B490="YM",IFERROR(INDEX(機種マスタ!$I$4:$I$203,MATCH($C490,機種マスタ!$J$4:$J$203,0)),"未登録"),IFERROR(INDEX(機種マスタ!$A$4:$A$363,MATCH($C490,機種マスタ!$B$4:$B$363,0)),"未登録")))</f>
        <v/>
      </c>
      <c r="F490" s="30">
        <f>IF($C490="","",IF($B490="YM",IFERROR(INDEX(機種マスタ!$K$4:$K$203,MATCH($C490,機種マスタ!$J$4:$J$203,0)),"-"),IFERROR(INDEX(機種マスタ!$C$4:$C$363,MATCH($C490,機種マスタ!$B$4:$B$363,0)),"-")))</f>
        <v/>
      </c>
      <c r="G490" s="30">
        <f>IF($C490="","",IF($B490="YM",IFERROR(N(INDEX(機種マスタ!$L$4:$L$203,MATCH($C490,機種マスタ!$J$4:$J$203,0))),0),IFERROR(N(INDEX(機種マスタ!$D$4:$D$363,MATCH($C490,機種マスタ!$B$4:$B$363,0))),0)))</f>
        <v/>
      </c>
      <c r="H490" s="30">
        <f>IF($C490="","",IF($D490="",1,$D490))</f>
        <v/>
      </c>
      <c r="I490" s="30">
        <f>IF($C490="","",IF(G490&gt;0,(G490+IFERROR(VLOOKUP(F490,機種マスタ!$Q$4:$R$6,2,FALSE),0))*H490,0))</f>
        <v/>
      </c>
    </row>
    <row r="491">
      <c r="A491" s="56" t="n"/>
      <c r="B491" s="41" t="n"/>
      <c r="C491" s="40" t="n"/>
      <c r="D491" s="41" t="n"/>
      <c r="E491" s="30">
        <f>IF($C491="","",IF($B491="YM",IFERROR(INDEX(機種マスタ!$I$4:$I$203,MATCH($C491,機種マスタ!$J$4:$J$203,0)),"未登録"),IFERROR(INDEX(機種マスタ!$A$4:$A$363,MATCH($C491,機種マスタ!$B$4:$B$363,0)),"未登録")))</f>
        <v/>
      </c>
      <c r="F491" s="30">
        <f>IF($C491="","",IF($B491="YM",IFERROR(INDEX(機種マスタ!$K$4:$K$203,MATCH($C491,機種マスタ!$J$4:$J$203,0)),"-"),IFERROR(INDEX(機種マスタ!$C$4:$C$363,MATCH($C491,機種マスタ!$B$4:$B$363,0)),"-")))</f>
        <v/>
      </c>
      <c r="G491" s="30">
        <f>IF($C491="","",IF($B491="YM",IFERROR(N(INDEX(機種マスタ!$L$4:$L$203,MATCH($C491,機種マスタ!$J$4:$J$203,0))),0),IFERROR(N(INDEX(機種マスタ!$D$4:$D$363,MATCH($C491,機種マスタ!$B$4:$B$363,0))),0)))</f>
        <v/>
      </c>
      <c r="H491" s="30">
        <f>IF($C491="","",IF($D491="",1,$D491))</f>
        <v/>
      </c>
      <c r="I491" s="30">
        <f>IF($C491="","",IF(G491&gt;0,(G491+IFERROR(VLOOKUP(F491,機種マスタ!$Q$4:$R$6,2,FALSE),0))*H491,0))</f>
        <v/>
      </c>
    </row>
    <row r="492">
      <c r="A492" s="56" t="n"/>
      <c r="B492" s="41" t="n"/>
      <c r="C492" s="40" t="n"/>
      <c r="D492" s="41" t="n"/>
      <c r="E492" s="30">
        <f>IF($C492="","",IF($B492="YM",IFERROR(INDEX(機種マスタ!$I$4:$I$203,MATCH($C492,機種マスタ!$J$4:$J$203,0)),"未登録"),IFERROR(INDEX(機種マスタ!$A$4:$A$363,MATCH($C492,機種マスタ!$B$4:$B$363,0)),"未登録")))</f>
        <v/>
      </c>
      <c r="F492" s="30">
        <f>IF($C492="","",IF($B492="YM",IFERROR(INDEX(機種マスタ!$K$4:$K$203,MATCH($C492,機種マスタ!$J$4:$J$203,0)),"-"),IFERROR(INDEX(機種マスタ!$C$4:$C$363,MATCH($C492,機種マスタ!$B$4:$B$363,0)),"-")))</f>
        <v/>
      </c>
      <c r="G492" s="30">
        <f>IF($C492="","",IF($B492="YM",IFERROR(N(INDEX(機種マスタ!$L$4:$L$203,MATCH($C492,機種マスタ!$J$4:$J$203,0))),0),IFERROR(N(INDEX(機種マスタ!$D$4:$D$363,MATCH($C492,機種マスタ!$B$4:$B$363,0))),0)))</f>
        <v/>
      </c>
      <c r="H492" s="30">
        <f>IF($C492="","",IF($D492="",1,$D492))</f>
        <v/>
      </c>
      <c r="I492" s="30">
        <f>IF($C492="","",IF(G492&gt;0,(G492+IFERROR(VLOOKUP(F492,機種マスタ!$Q$4:$R$6,2,FALSE),0))*H492,0))</f>
        <v/>
      </c>
    </row>
    <row r="493">
      <c r="A493" s="56" t="n"/>
      <c r="B493" s="41" t="n"/>
      <c r="C493" s="40" t="n"/>
      <c r="D493" s="41" t="n"/>
      <c r="E493" s="30">
        <f>IF($C493="","",IF($B493="YM",IFERROR(INDEX(機種マスタ!$I$4:$I$203,MATCH($C493,機種マスタ!$J$4:$J$203,0)),"未登録"),IFERROR(INDEX(機種マスタ!$A$4:$A$363,MATCH($C493,機種マスタ!$B$4:$B$363,0)),"未登録")))</f>
        <v/>
      </c>
      <c r="F493" s="30">
        <f>IF($C493="","",IF($B493="YM",IFERROR(INDEX(機種マスタ!$K$4:$K$203,MATCH($C493,機種マスタ!$J$4:$J$203,0)),"-"),IFERROR(INDEX(機種マスタ!$C$4:$C$363,MATCH($C493,機種マスタ!$B$4:$B$363,0)),"-")))</f>
        <v/>
      </c>
      <c r="G493" s="30">
        <f>IF($C493="","",IF($B493="YM",IFERROR(N(INDEX(機種マスタ!$L$4:$L$203,MATCH($C493,機種マスタ!$J$4:$J$203,0))),0),IFERROR(N(INDEX(機種マスタ!$D$4:$D$363,MATCH($C493,機種マスタ!$B$4:$B$363,0))),0)))</f>
        <v/>
      </c>
      <c r="H493" s="30">
        <f>IF($C493="","",IF($D493="",1,$D493))</f>
        <v/>
      </c>
      <c r="I493" s="30">
        <f>IF($C493="","",IF(G493&gt;0,(G493+IFERROR(VLOOKUP(F493,機種マスタ!$Q$4:$R$6,2,FALSE),0))*H493,0))</f>
        <v/>
      </c>
    </row>
    <row r="494">
      <c r="A494" s="56" t="n"/>
      <c r="B494" s="41" t="n"/>
      <c r="C494" s="40" t="n"/>
      <c r="D494" s="41" t="n"/>
      <c r="E494" s="30">
        <f>IF($C494="","",IF($B494="YM",IFERROR(INDEX(機種マスタ!$I$4:$I$203,MATCH($C494,機種マスタ!$J$4:$J$203,0)),"未登録"),IFERROR(INDEX(機種マスタ!$A$4:$A$363,MATCH($C494,機種マスタ!$B$4:$B$363,0)),"未登録")))</f>
        <v/>
      </c>
      <c r="F494" s="30">
        <f>IF($C494="","",IF($B494="YM",IFERROR(INDEX(機種マスタ!$K$4:$K$203,MATCH($C494,機種マスタ!$J$4:$J$203,0)),"-"),IFERROR(INDEX(機種マスタ!$C$4:$C$363,MATCH($C494,機種マスタ!$B$4:$B$363,0)),"-")))</f>
        <v/>
      </c>
      <c r="G494" s="30">
        <f>IF($C494="","",IF($B494="YM",IFERROR(N(INDEX(機種マスタ!$L$4:$L$203,MATCH($C494,機種マスタ!$J$4:$J$203,0))),0),IFERROR(N(INDEX(機種マスタ!$D$4:$D$363,MATCH($C494,機種マスタ!$B$4:$B$363,0))),0)))</f>
        <v/>
      </c>
      <c r="H494" s="30">
        <f>IF($C494="","",IF($D494="",1,$D494))</f>
        <v/>
      </c>
      <c r="I494" s="30">
        <f>IF($C494="","",IF(G494&gt;0,(G494+IFERROR(VLOOKUP(F494,機種マスタ!$Q$4:$R$6,2,FALSE),0))*H494,0))</f>
        <v/>
      </c>
    </row>
    <row r="495">
      <c r="A495" s="56" t="n"/>
      <c r="B495" s="41" t="n"/>
      <c r="C495" s="40" t="n"/>
      <c r="D495" s="41" t="n"/>
      <c r="E495" s="30">
        <f>IF($C495="","",IF($B495="YM",IFERROR(INDEX(機種マスタ!$I$4:$I$203,MATCH($C495,機種マスタ!$J$4:$J$203,0)),"未登録"),IFERROR(INDEX(機種マスタ!$A$4:$A$363,MATCH($C495,機種マスタ!$B$4:$B$363,0)),"未登録")))</f>
        <v/>
      </c>
      <c r="F495" s="30">
        <f>IF($C495="","",IF($B495="YM",IFERROR(INDEX(機種マスタ!$K$4:$K$203,MATCH($C495,機種マスタ!$J$4:$J$203,0)),"-"),IFERROR(INDEX(機種マスタ!$C$4:$C$363,MATCH($C495,機種マスタ!$B$4:$B$363,0)),"-")))</f>
        <v/>
      </c>
      <c r="G495" s="30">
        <f>IF($C495="","",IF($B495="YM",IFERROR(N(INDEX(機種マスタ!$L$4:$L$203,MATCH($C495,機種マスタ!$J$4:$J$203,0))),0),IFERROR(N(INDEX(機種マスタ!$D$4:$D$363,MATCH($C495,機種マスタ!$B$4:$B$363,0))),0)))</f>
        <v/>
      </c>
      <c r="H495" s="30">
        <f>IF($C495="","",IF($D495="",1,$D495))</f>
        <v/>
      </c>
      <c r="I495" s="30">
        <f>IF($C495="","",IF(G495&gt;0,(G495+IFERROR(VLOOKUP(F495,機種マスタ!$Q$4:$R$6,2,FALSE),0))*H495,0))</f>
        <v/>
      </c>
    </row>
    <row r="496">
      <c r="A496" s="56" t="n"/>
      <c r="B496" s="41" t="n"/>
      <c r="C496" s="40" t="n"/>
      <c r="D496" s="41" t="n"/>
      <c r="E496" s="30">
        <f>IF($C496="","",IF($B496="YM",IFERROR(INDEX(機種マスタ!$I$4:$I$203,MATCH($C496,機種マスタ!$J$4:$J$203,0)),"未登録"),IFERROR(INDEX(機種マスタ!$A$4:$A$363,MATCH($C496,機種マスタ!$B$4:$B$363,0)),"未登録")))</f>
        <v/>
      </c>
      <c r="F496" s="30">
        <f>IF($C496="","",IF($B496="YM",IFERROR(INDEX(機種マスタ!$K$4:$K$203,MATCH($C496,機種マスタ!$J$4:$J$203,0)),"-"),IFERROR(INDEX(機種マスタ!$C$4:$C$363,MATCH($C496,機種マスタ!$B$4:$B$363,0)),"-")))</f>
        <v/>
      </c>
      <c r="G496" s="30">
        <f>IF($C496="","",IF($B496="YM",IFERROR(N(INDEX(機種マスタ!$L$4:$L$203,MATCH($C496,機種マスタ!$J$4:$J$203,0))),0),IFERROR(N(INDEX(機種マスタ!$D$4:$D$363,MATCH($C496,機種マスタ!$B$4:$B$363,0))),0)))</f>
        <v/>
      </c>
      <c r="H496" s="30">
        <f>IF($C496="","",IF($D496="",1,$D496))</f>
        <v/>
      </c>
      <c r="I496" s="30">
        <f>IF($C496="","",IF(G496&gt;0,(G496+IFERROR(VLOOKUP(F496,機種マスタ!$Q$4:$R$6,2,FALSE),0))*H496,0))</f>
        <v/>
      </c>
    </row>
    <row r="497">
      <c r="A497" s="56" t="n"/>
      <c r="B497" s="41" t="n"/>
      <c r="C497" s="40" t="n"/>
      <c r="D497" s="41" t="n"/>
      <c r="E497" s="30">
        <f>IF($C497="","",IF($B497="YM",IFERROR(INDEX(機種マスタ!$I$4:$I$203,MATCH($C497,機種マスタ!$J$4:$J$203,0)),"未登録"),IFERROR(INDEX(機種マスタ!$A$4:$A$363,MATCH($C497,機種マスタ!$B$4:$B$363,0)),"未登録")))</f>
        <v/>
      </c>
      <c r="F497" s="30">
        <f>IF($C497="","",IF($B497="YM",IFERROR(INDEX(機種マスタ!$K$4:$K$203,MATCH($C497,機種マスタ!$J$4:$J$203,0)),"-"),IFERROR(INDEX(機種マスタ!$C$4:$C$363,MATCH($C497,機種マスタ!$B$4:$B$363,0)),"-")))</f>
        <v/>
      </c>
      <c r="G497" s="30">
        <f>IF($C497="","",IF($B497="YM",IFERROR(N(INDEX(機種マスタ!$L$4:$L$203,MATCH($C497,機種マスタ!$J$4:$J$203,0))),0),IFERROR(N(INDEX(機種マスタ!$D$4:$D$363,MATCH($C497,機種マスタ!$B$4:$B$363,0))),0)))</f>
        <v/>
      </c>
      <c r="H497" s="30">
        <f>IF($C497="","",IF($D497="",1,$D497))</f>
        <v/>
      </c>
      <c r="I497" s="30">
        <f>IF($C497="","",IF(G497&gt;0,(G497+IFERROR(VLOOKUP(F497,機種マスタ!$Q$4:$R$6,2,FALSE),0))*H497,0))</f>
        <v/>
      </c>
    </row>
    <row r="498">
      <c r="A498" s="56" t="n"/>
      <c r="B498" s="41" t="n"/>
      <c r="C498" s="40" t="n"/>
      <c r="D498" s="41" t="n"/>
      <c r="E498" s="30">
        <f>IF($C498="","",IF($B498="YM",IFERROR(INDEX(機種マスタ!$I$4:$I$203,MATCH($C498,機種マスタ!$J$4:$J$203,0)),"未登録"),IFERROR(INDEX(機種マスタ!$A$4:$A$363,MATCH($C498,機種マスタ!$B$4:$B$363,0)),"未登録")))</f>
        <v/>
      </c>
      <c r="F498" s="30">
        <f>IF($C498="","",IF($B498="YM",IFERROR(INDEX(機種マスタ!$K$4:$K$203,MATCH($C498,機種マスタ!$J$4:$J$203,0)),"-"),IFERROR(INDEX(機種マスタ!$C$4:$C$363,MATCH($C498,機種マスタ!$B$4:$B$363,0)),"-")))</f>
        <v/>
      </c>
      <c r="G498" s="30">
        <f>IF($C498="","",IF($B498="YM",IFERROR(N(INDEX(機種マスタ!$L$4:$L$203,MATCH($C498,機種マスタ!$J$4:$J$203,0))),0),IFERROR(N(INDEX(機種マスタ!$D$4:$D$363,MATCH($C498,機種マスタ!$B$4:$B$363,0))),0)))</f>
        <v/>
      </c>
      <c r="H498" s="30">
        <f>IF($C498="","",IF($D498="",1,$D498))</f>
        <v/>
      </c>
      <c r="I498" s="30">
        <f>IF($C498="","",IF(G498&gt;0,(G498+IFERROR(VLOOKUP(F498,機種マスタ!$Q$4:$R$6,2,FALSE),0))*H498,0))</f>
        <v/>
      </c>
    </row>
    <row r="499">
      <c r="A499" s="56" t="n"/>
      <c r="B499" s="41" t="n"/>
      <c r="C499" s="40" t="n"/>
      <c r="D499" s="41" t="n"/>
      <c r="E499" s="30">
        <f>IF($C499="","",IF($B499="YM",IFERROR(INDEX(機種マスタ!$I$4:$I$203,MATCH($C499,機種マスタ!$J$4:$J$203,0)),"未登録"),IFERROR(INDEX(機種マスタ!$A$4:$A$363,MATCH($C499,機種マスタ!$B$4:$B$363,0)),"未登録")))</f>
        <v/>
      </c>
      <c r="F499" s="30">
        <f>IF($C499="","",IF($B499="YM",IFERROR(INDEX(機種マスタ!$K$4:$K$203,MATCH($C499,機種マスタ!$J$4:$J$203,0)),"-"),IFERROR(INDEX(機種マスタ!$C$4:$C$363,MATCH($C499,機種マスタ!$B$4:$B$363,0)),"-")))</f>
        <v/>
      </c>
      <c r="G499" s="30">
        <f>IF($C499="","",IF($B499="YM",IFERROR(N(INDEX(機種マスタ!$L$4:$L$203,MATCH($C499,機種マスタ!$J$4:$J$203,0))),0),IFERROR(N(INDEX(機種マスタ!$D$4:$D$363,MATCH($C499,機種マスタ!$B$4:$B$363,0))),0)))</f>
        <v/>
      </c>
      <c r="H499" s="30">
        <f>IF($C499="","",IF($D499="",1,$D499))</f>
        <v/>
      </c>
      <c r="I499" s="30">
        <f>IF($C499="","",IF(G499&gt;0,(G499+IFERROR(VLOOKUP(F499,機種マスタ!$Q$4:$R$6,2,FALSE),0))*H499,0))</f>
        <v/>
      </c>
    </row>
    <row r="500">
      <c r="A500" s="56" t="n"/>
      <c r="B500" s="41" t="n"/>
      <c r="C500" s="40" t="n"/>
      <c r="D500" s="41" t="n"/>
      <c r="E500" s="30">
        <f>IF($C500="","",IF($B500="YM",IFERROR(INDEX(機種マスタ!$I$4:$I$203,MATCH($C500,機種マスタ!$J$4:$J$203,0)),"未登録"),IFERROR(INDEX(機種マスタ!$A$4:$A$363,MATCH($C500,機種マスタ!$B$4:$B$363,0)),"未登録")))</f>
        <v/>
      </c>
      <c r="F500" s="30">
        <f>IF($C500="","",IF($B500="YM",IFERROR(INDEX(機種マスタ!$K$4:$K$203,MATCH($C500,機種マスタ!$J$4:$J$203,0)),"-"),IFERROR(INDEX(機種マスタ!$C$4:$C$363,MATCH($C500,機種マスタ!$B$4:$B$363,0)),"-")))</f>
        <v/>
      </c>
      <c r="G500" s="30">
        <f>IF($C500="","",IF($B500="YM",IFERROR(N(INDEX(機種マスタ!$L$4:$L$203,MATCH($C500,機種マスタ!$J$4:$J$203,0))),0),IFERROR(N(INDEX(機種マスタ!$D$4:$D$363,MATCH($C500,機種マスタ!$B$4:$B$363,0))),0)))</f>
        <v/>
      </c>
      <c r="H500" s="30">
        <f>IF($C500="","",IF($D500="",1,$D500))</f>
        <v/>
      </c>
      <c r="I500" s="30">
        <f>IF($C500="","",IF(G500&gt;0,(G500+IFERROR(VLOOKUP(F500,機種マスタ!$Q$4:$R$6,2,FALSE),0))*H500,0))</f>
        <v/>
      </c>
    </row>
    <row r="501">
      <c r="A501" s="56" t="n"/>
      <c r="B501" s="41" t="n"/>
      <c r="C501" s="40" t="n"/>
      <c r="D501" s="41" t="n"/>
      <c r="E501" s="30">
        <f>IF($C501="","",IF($B501="YM",IFERROR(INDEX(機種マスタ!$I$4:$I$203,MATCH($C501,機種マスタ!$J$4:$J$203,0)),"未登録"),IFERROR(INDEX(機種マスタ!$A$4:$A$363,MATCH($C501,機種マスタ!$B$4:$B$363,0)),"未登録")))</f>
        <v/>
      </c>
      <c r="F501" s="30">
        <f>IF($C501="","",IF($B501="YM",IFERROR(INDEX(機種マスタ!$K$4:$K$203,MATCH($C501,機種マスタ!$J$4:$J$203,0)),"-"),IFERROR(INDEX(機種マスタ!$C$4:$C$363,MATCH($C501,機種マスタ!$B$4:$B$363,0)),"-")))</f>
        <v/>
      </c>
      <c r="G501" s="30">
        <f>IF($C501="","",IF($B501="YM",IFERROR(N(INDEX(機種マスタ!$L$4:$L$203,MATCH($C501,機種マスタ!$J$4:$J$203,0))),0),IFERROR(N(INDEX(機種マスタ!$D$4:$D$363,MATCH($C501,機種マスタ!$B$4:$B$363,0))),0)))</f>
        <v/>
      </c>
      <c r="H501" s="30">
        <f>IF($C501="","",IF($D501="",1,$D501))</f>
        <v/>
      </c>
      <c r="I501" s="30">
        <f>IF($C501="","",IF(G501&gt;0,(G501+IFERROR(VLOOKUP(F501,機種マスタ!$Q$4:$R$6,2,FALSE),0))*H501,0))</f>
        <v/>
      </c>
    </row>
    <row r="502">
      <c r="A502" s="56" t="n"/>
      <c r="B502" s="41" t="n"/>
      <c r="C502" s="40" t="n"/>
      <c r="D502" s="41" t="n"/>
      <c r="E502" s="30">
        <f>IF($C502="","",IF($B502="YM",IFERROR(INDEX(機種マスタ!$I$4:$I$203,MATCH($C502,機種マスタ!$J$4:$J$203,0)),"未登録"),IFERROR(INDEX(機種マスタ!$A$4:$A$363,MATCH($C502,機種マスタ!$B$4:$B$363,0)),"未登録")))</f>
        <v/>
      </c>
      <c r="F502" s="30">
        <f>IF($C502="","",IF($B502="YM",IFERROR(INDEX(機種マスタ!$K$4:$K$203,MATCH($C502,機種マスタ!$J$4:$J$203,0)),"-"),IFERROR(INDEX(機種マスタ!$C$4:$C$363,MATCH($C502,機種マスタ!$B$4:$B$363,0)),"-")))</f>
        <v/>
      </c>
      <c r="G502" s="30">
        <f>IF($C502="","",IF($B502="YM",IFERROR(N(INDEX(機種マスタ!$L$4:$L$203,MATCH($C502,機種マスタ!$J$4:$J$203,0))),0),IFERROR(N(INDEX(機種マスタ!$D$4:$D$363,MATCH($C502,機種マスタ!$B$4:$B$363,0))),0)))</f>
        <v/>
      </c>
      <c r="H502" s="30">
        <f>IF($C502="","",IF($D502="",1,$D502))</f>
        <v/>
      </c>
      <c r="I502" s="30">
        <f>IF($C502="","",IF(G502&gt;0,(G502+IFERROR(VLOOKUP(F502,機種マスタ!$Q$4:$R$6,2,FALSE),0))*H502,0))</f>
        <v/>
      </c>
    </row>
    <row r="503">
      <c r="A503" s="56" t="n"/>
      <c r="B503" s="41" t="n"/>
      <c r="C503" s="40" t="n"/>
      <c r="D503" s="41" t="n"/>
      <c r="E503" s="30">
        <f>IF($C503="","",IF($B503="YM",IFERROR(INDEX(機種マスタ!$I$4:$I$203,MATCH($C503,機種マスタ!$J$4:$J$203,0)),"未登録"),IFERROR(INDEX(機種マスタ!$A$4:$A$363,MATCH($C503,機種マスタ!$B$4:$B$363,0)),"未登録")))</f>
        <v/>
      </c>
      <c r="F503" s="30">
        <f>IF($C503="","",IF($B503="YM",IFERROR(INDEX(機種マスタ!$K$4:$K$203,MATCH($C503,機種マスタ!$J$4:$J$203,0)),"-"),IFERROR(INDEX(機種マスタ!$C$4:$C$363,MATCH($C503,機種マスタ!$B$4:$B$363,0)),"-")))</f>
        <v/>
      </c>
      <c r="G503" s="30">
        <f>IF($C503="","",IF($B503="YM",IFERROR(N(INDEX(機種マスタ!$L$4:$L$203,MATCH($C503,機種マスタ!$J$4:$J$203,0))),0),IFERROR(N(INDEX(機種マスタ!$D$4:$D$363,MATCH($C503,機種マスタ!$B$4:$B$363,0))),0)))</f>
        <v/>
      </c>
      <c r="H503" s="30">
        <f>IF($C503="","",IF($D503="",1,$D503))</f>
        <v/>
      </c>
      <c r="I503" s="30">
        <f>IF($C503="","",IF(G503&gt;0,(G503+IFERROR(VLOOKUP(F503,機種マスタ!$Q$4:$R$6,2,FALSE),0))*H503,0))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E4:I503">
    <cfRule type="expression" priority="1" dxfId="0">
      <formula>AND($C4&lt;&gt;"",$G4&gt;0)</formula>
    </cfRule>
    <cfRule type="expression" priority="2" dxfId="8">
      <formula>$E4="未登録"</formula>
    </cfRule>
  </conditionalFormatting>
  <conditionalFormatting sqref="A4:A503">
    <cfRule type="expression" priority="3" dxfId="9">
      <formula>AND($C4&lt;&gt;"",$A4="")</formula>
    </cfRule>
  </conditionalFormatting>
  <conditionalFormatting sqref="L6">
    <cfRule type="cellIs" priority="4" operator="greaterThan" dxfId="2">
      <formula>0</formula>
    </cfRule>
  </conditionalFormatting>
  <dataValidations count="4">
    <dataValidation sqref="A4:A503" showDropDown="0" showInputMessage="0" showErrorMessage="1" allowBlank="1" errorTitle="対象月以外は入力できません" error="「目標設定」で指定した対象月の日付を、プルダウンから選ぶか、同じ月の日付(例 10/3)を入力してください。" type="list" errorStyle="stop">
      <formula1>OFFSET(進捗確認!$B$42,0,0,目標設定!$C$4,1)</formula1>
    </dataValidation>
    <dataValidation sqref="B4:B503" showDropDown="0" showInputMessage="0" showErrorMessage="1" allowBlank="1" errorTitle="入力エラー" error="SB か YM を選んでください(空欄はSB扱い)。" type="list">
      <formula1>"SB,YM"</formula1>
    </dataValidation>
    <dataValidation sqref="C4:C503" showDropDown="0" showInputMessage="0" showErrorMessage="0" allowBlank="1" errorTitle="入力エラー" error="機種マスタに登録されている機種名を選んでください。" type="list">
      <formula1>OFFSET(機種マスタ!$B$4,0,IF($B4="YM",8,0),MAX(1,IF($B4="YM",COUNTA(機種マスタ!$J$4:$J$203),COUNTA(機種マスタ!$B$4:$B$363))),1)</formula1>
    </dataValidation>
    <dataValidation sqref="D4:D503" showDropDown="0" showInputMessage="0" showErrorMessage="0" allowBlank="1" errorTitle="入力エラー" error="1以上の整数を入力してください。" type="whole" operator="greaterThanOrEqual">
      <formula1>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9" customWidth="1" min="3" max="3"/>
    <col width="13" customWidth="1" min="4" max="4"/>
    <col width="10" customWidth="1" min="5" max="5"/>
    <col width="12" customWidth="1" min="6" max="6"/>
    <col width="14" customWidth="1" min="7" max="7"/>
    <col width="2" customWidth="1" min="8" max="8"/>
    <col width="13" customWidth="1" min="9" max="9"/>
    <col width="38" customWidth="1" min="10" max="10"/>
    <col width="9" customWidth="1" min="11" max="12"/>
    <col width="13" customWidth="1" min="12" max="12"/>
    <col width="10" customWidth="1" min="13" max="13"/>
    <col width="12" customWidth="1" min="14" max="14"/>
    <col width="14" customWidth="1" min="15" max="15"/>
    <col width="2" customWidth="1" min="16" max="16"/>
    <col width="16" customWidth="1" min="17" max="17"/>
    <col width="10" customWidth="1" min="18" max="18"/>
  </cols>
  <sheetData>
    <row r="1">
      <c r="A1" s="1" t="inlineStr">
        <is>
          <t>機種マスタ(対象機種と戦略Pt)</t>
        </is>
      </c>
    </row>
    <row r="2">
      <c r="A2" s="22" t="inlineStr">
        <is>
          <t>「機種Pt」シートのSB機種(左)とYM機種(右)を登録しています。機種の追加・戦略Ptの変更は黄色いセルを編集してください(戦略Ptが空欄の機種は加算されません)。機種Ptの点数(H/M/L)は右端のQ〜R列で変更できます。SBとYMで同じ機種名がある場合は、機種販売入力で区分(SB/YM)を選びます。</t>
        </is>
      </c>
    </row>
    <row r="3" ht="30" customHeight="1">
      <c r="A3" s="9" t="inlineStr">
        <is>
          <t>カテゴリ</t>
        </is>
      </c>
      <c r="B3" s="9" t="inlineStr">
        <is>
          <t>SB機種名</t>
        </is>
      </c>
      <c r="C3" s="9" t="inlineStr">
        <is>
          <t>機種Pt</t>
        </is>
      </c>
      <c r="D3" s="9" t="inlineStr">
        <is>
          <t>戦略Pt
(1台あたり)</t>
        </is>
      </c>
      <c r="E3" s="9" t="inlineStr">
        <is>
          <t>販売台数</t>
        </is>
      </c>
      <c r="F3" s="9" t="inlineStr">
        <is>
          <t>獲得戦略Pt</t>
        </is>
      </c>
      <c r="G3" s="9" t="inlineStr">
        <is>
          <t>エンディング
予定日</t>
        </is>
      </c>
      <c r="I3" s="9" t="inlineStr">
        <is>
          <t>カテゴリ</t>
        </is>
      </c>
      <c r="J3" s="9" t="inlineStr">
        <is>
          <t>YM機種名</t>
        </is>
      </c>
      <c r="K3" s="9" t="inlineStr">
        <is>
          <t>機種Pt</t>
        </is>
      </c>
      <c r="L3" s="9" t="inlineStr">
        <is>
          <t>戦略Pt
(1台あたり)</t>
        </is>
      </c>
      <c r="M3" s="9" t="inlineStr">
        <is>
          <t>販売台数</t>
        </is>
      </c>
      <c r="N3" s="9" t="inlineStr">
        <is>
          <t>獲得戦略Pt</t>
        </is>
      </c>
      <c r="O3" s="9" t="inlineStr">
        <is>
          <t>エンディング
予定日</t>
        </is>
      </c>
      <c r="Q3" s="9" t="inlineStr">
        <is>
          <t>機種Pt</t>
        </is>
      </c>
      <c r="R3" s="9" t="inlineStr">
        <is>
          <t>点数</t>
        </is>
      </c>
    </row>
    <row r="4">
      <c r="A4" s="41" t="inlineStr">
        <is>
          <t>iPhone</t>
        </is>
      </c>
      <c r="B4" s="40" t="inlineStr">
        <is>
          <t>iPhone 18 Pro(256GB)</t>
        </is>
      </c>
      <c r="C4" s="41" t="inlineStr">
        <is>
          <t>H</t>
        </is>
      </c>
      <c r="D4" s="41" t="n">
        <v>2</v>
      </c>
      <c r="E4" s="30">
        <f>IF($B4="","",SUMIFS(機種販売入力!$H$4:$H$503,機種販売入力!$C$4:$C$503,$B4,機種販売入力!$B$4:$B$503,"&lt;&gt;YM"))</f>
        <v/>
      </c>
      <c r="F4" s="30">
        <f>IF($B4="","",N($D4)*E4)</f>
        <v/>
      </c>
      <c r="G4" s="57" t="n"/>
      <c r="I4" s="41" t="inlineStr">
        <is>
          <t>iPhone</t>
        </is>
      </c>
      <c r="J4" s="40" t="inlineStr">
        <is>
          <t>iPhone 17e(256GB)</t>
        </is>
      </c>
      <c r="K4" s="41" t="inlineStr">
        <is>
          <t>M</t>
        </is>
      </c>
      <c r="L4" s="41" t="n"/>
      <c r="M4" s="30">
        <f>IF($J4="","",SUMIFS(機種販売入力!$H$4:$H$503,機種販売入力!$C$4:$C$503,$J4,機種販売入力!$B$4:$B$503,"YM"))</f>
        <v/>
      </c>
      <c r="N4" s="30">
        <f>IF($J4="","",N($L4)*M4)</f>
        <v/>
      </c>
      <c r="O4" s="57" t="n"/>
      <c r="Q4" s="41" t="inlineStr">
        <is>
          <t>H</t>
        </is>
      </c>
      <c r="R4" s="41" t="n">
        <v>4</v>
      </c>
    </row>
    <row r="5">
      <c r="A5" s="41" t="inlineStr">
        <is>
          <t>iPhone</t>
        </is>
      </c>
      <c r="B5" s="40" t="inlineStr">
        <is>
          <t>iPhone 18 Pro(512GB)</t>
        </is>
      </c>
      <c r="C5" s="41" t="inlineStr">
        <is>
          <t>H</t>
        </is>
      </c>
      <c r="D5" s="41" t="n">
        <v>2</v>
      </c>
      <c r="E5" s="30">
        <f>IF($B5="","",SUMIFS(機種販売入力!$H$4:$H$503,機種販売入力!$C$4:$C$503,$B5,機種販売入力!$B$4:$B$503,"&lt;&gt;YM"))</f>
        <v/>
      </c>
      <c r="F5" s="30">
        <f>IF($B5="","",N($D5)*E5)</f>
        <v/>
      </c>
      <c r="G5" s="57" t="n"/>
      <c r="I5" s="41" t="inlineStr">
        <is>
          <t>iPhone</t>
        </is>
      </c>
      <c r="J5" s="40" t="inlineStr">
        <is>
          <t>iPhone 17e(512GB)</t>
        </is>
      </c>
      <c r="K5" s="41" t="inlineStr">
        <is>
          <t>M</t>
        </is>
      </c>
      <c r="L5" s="41" t="n"/>
      <c r="M5" s="30">
        <f>IF($J5="","",SUMIFS(機種販売入力!$H$4:$H$503,機種販売入力!$C$4:$C$503,$J5,機種販売入力!$B$4:$B$503,"YM"))</f>
        <v/>
      </c>
      <c r="N5" s="30">
        <f>IF($J5="","",N($L5)*M5)</f>
        <v/>
      </c>
      <c r="O5" s="57" t="n"/>
      <c r="Q5" s="41" t="inlineStr">
        <is>
          <t>M</t>
        </is>
      </c>
      <c r="R5" s="41" t="n">
        <v>2</v>
      </c>
    </row>
    <row r="6">
      <c r="A6" s="41" t="inlineStr">
        <is>
          <t>iPhone</t>
        </is>
      </c>
      <c r="B6" s="40" t="inlineStr">
        <is>
          <t>iPhone 18 Pro(1TB)</t>
        </is>
      </c>
      <c r="C6" s="41" t="inlineStr">
        <is>
          <t>H</t>
        </is>
      </c>
      <c r="D6" s="41" t="n">
        <v>2</v>
      </c>
      <c r="E6" s="30">
        <f>IF($B6="","",SUMIFS(機種販売入力!$H$4:$H$503,機種販売入力!$C$4:$C$503,$B6,機種販売入力!$B$4:$B$503,"&lt;&gt;YM"))</f>
        <v/>
      </c>
      <c r="F6" s="30">
        <f>IF($B6="","",N($D6)*E6)</f>
        <v/>
      </c>
      <c r="G6" s="57" t="n"/>
      <c r="I6" s="41" t="inlineStr">
        <is>
          <t>iPhone</t>
        </is>
      </c>
      <c r="J6" s="40" t="inlineStr">
        <is>
          <t>iPhone 16e(128GB)</t>
        </is>
      </c>
      <c r="K6" s="41" t="inlineStr">
        <is>
          <t>M</t>
        </is>
      </c>
      <c r="L6" s="41" t="n"/>
      <c r="M6" s="30">
        <f>IF($J6="","",SUMIFS(機種販売入力!$H$4:$H$503,機種販売入力!$C$4:$C$503,$J6,機種販売入力!$B$4:$B$503,"YM"))</f>
        <v/>
      </c>
      <c r="N6" s="30">
        <f>IF($J6="","",N($L6)*M6)</f>
        <v/>
      </c>
      <c r="O6" s="57" t="n"/>
      <c r="Q6" s="41" t="inlineStr">
        <is>
          <t>L</t>
        </is>
      </c>
      <c r="R6" s="41" t="n">
        <v>1</v>
      </c>
    </row>
    <row r="7">
      <c r="A7" s="41" t="inlineStr">
        <is>
          <t>iPhone</t>
        </is>
      </c>
      <c r="B7" s="40" t="inlineStr">
        <is>
          <t>iPhone 18 Pro(2TB)</t>
        </is>
      </c>
      <c r="C7" s="41" t="inlineStr">
        <is>
          <t>H</t>
        </is>
      </c>
      <c r="D7" s="41" t="n">
        <v>2</v>
      </c>
      <c r="E7" s="30">
        <f>IF($B7="","",SUMIFS(機種販売入力!$H$4:$H$503,機種販売入力!$C$4:$C$503,$B7,機種販売入力!$B$4:$B$503,"&lt;&gt;YM"))</f>
        <v/>
      </c>
      <c r="F7" s="30">
        <f>IF($B7="","",N($D7)*E7)</f>
        <v/>
      </c>
      <c r="G7" s="57" t="n"/>
      <c r="I7" s="41" t="inlineStr">
        <is>
          <t>iPhone</t>
        </is>
      </c>
      <c r="J7" s="40" t="inlineStr">
        <is>
          <t>iPhone 16e(256GB)</t>
        </is>
      </c>
      <c r="K7" s="41" t="inlineStr">
        <is>
          <t>M</t>
        </is>
      </c>
      <c r="L7" s="41" t="n"/>
      <c r="M7" s="30">
        <f>IF($J7="","",SUMIFS(機種販売入力!$H$4:$H$503,機種販売入力!$C$4:$C$503,$J7,機種販売入力!$B$4:$B$503,"YM"))</f>
        <v/>
      </c>
      <c r="N7" s="30">
        <f>IF($J7="","",N($L7)*M7)</f>
        <v/>
      </c>
      <c r="O7" s="57" t="n"/>
    </row>
    <row r="8">
      <c r="A8" s="41" t="inlineStr">
        <is>
          <t>iPhone</t>
        </is>
      </c>
      <c r="B8" s="40" t="inlineStr">
        <is>
          <t>iPhone 18 Pro Max(256GB)</t>
        </is>
      </c>
      <c r="C8" s="41" t="inlineStr">
        <is>
          <t>H</t>
        </is>
      </c>
      <c r="D8" s="41" t="n">
        <v>2</v>
      </c>
      <c r="E8" s="30">
        <f>IF($B8="","",SUMIFS(機種販売入力!$H$4:$H$503,機種販売入力!$C$4:$C$503,$B8,機種販売入力!$B$4:$B$503,"&lt;&gt;YM"))</f>
        <v/>
      </c>
      <c r="F8" s="30">
        <f>IF($B8="","",N($D8)*E8)</f>
        <v/>
      </c>
      <c r="G8" s="57" t="n"/>
      <c r="I8" s="41" t="inlineStr">
        <is>
          <t>iPhone</t>
        </is>
      </c>
      <c r="J8" s="40" t="inlineStr">
        <is>
          <t>iPhone 16e(512GB)</t>
        </is>
      </c>
      <c r="K8" s="41" t="inlineStr">
        <is>
          <t>M</t>
        </is>
      </c>
      <c r="L8" s="41" t="n"/>
      <c r="M8" s="30">
        <f>IF($J8="","",SUMIFS(機種販売入力!$H$4:$H$503,機種販売入力!$C$4:$C$503,$J8,機種販売入力!$B$4:$B$503,"YM"))</f>
        <v/>
      </c>
      <c r="N8" s="30">
        <f>IF($J8="","",N($L8)*M8)</f>
        <v/>
      </c>
      <c r="O8" s="57" t="n"/>
      <c r="Q8" s="9" t="inlineStr">
        <is>
          <t>SB 戦略Pt合計</t>
        </is>
      </c>
      <c r="R8" s="38">
        <f>SUM(F4:F363)</f>
        <v/>
      </c>
    </row>
    <row r="9">
      <c r="A9" s="41" t="inlineStr">
        <is>
          <t>iPhone</t>
        </is>
      </c>
      <c r="B9" s="40" t="inlineStr">
        <is>
          <t>iPhone 18 Pro Max(512GB)</t>
        </is>
      </c>
      <c r="C9" s="41" t="inlineStr">
        <is>
          <t>H</t>
        </is>
      </c>
      <c r="D9" s="41" t="n">
        <v>2</v>
      </c>
      <c r="E9" s="30">
        <f>IF($B9="","",SUMIFS(機種販売入力!$H$4:$H$503,機種販売入力!$C$4:$C$503,$B9,機種販売入力!$B$4:$B$503,"&lt;&gt;YM"))</f>
        <v/>
      </c>
      <c r="F9" s="30">
        <f>IF($B9="","",N($D9)*E9)</f>
        <v/>
      </c>
      <c r="G9" s="57" t="n"/>
      <c r="I9" s="41" t="inlineStr">
        <is>
          <t>iPhone</t>
        </is>
      </c>
      <c r="J9" s="40" t="inlineStr">
        <is>
          <t>iPhone 16(128GB)</t>
        </is>
      </c>
      <c r="K9" s="41" t="inlineStr">
        <is>
          <t>M</t>
        </is>
      </c>
      <c r="L9" s="41" t="n"/>
      <c r="M9" s="30">
        <f>IF($J9="","",SUMIFS(機種販売入力!$H$4:$H$503,機種販売入力!$C$4:$C$503,$J9,機種販売入力!$B$4:$B$503,"YM"))</f>
        <v/>
      </c>
      <c r="N9" s="30">
        <f>IF($J9="","",N($L9)*M9)</f>
        <v/>
      </c>
      <c r="O9" s="57" t="n"/>
      <c r="Q9" s="9" t="inlineStr">
        <is>
          <t>YM 戦略Pt合計</t>
        </is>
      </c>
      <c r="R9" s="38">
        <f>SUM(N4:N203)</f>
        <v/>
      </c>
    </row>
    <row r="10">
      <c r="A10" s="41" t="inlineStr">
        <is>
          <t>iPhone</t>
        </is>
      </c>
      <c r="B10" s="40" t="inlineStr">
        <is>
          <t>iPhone 18 Pro Max(1TB)</t>
        </is>
      </c>
      <c r="C10" s="41" t="inlineStr">
        <is>
          <t>H</t>
        </is>
      </c>
      <c r="D10" s="41" t="n">
        <v>2</v>
      </c>
      <c r="E10" s="30">
        <f>IF($B10="","",SUMIFS(機種販売入力!$H$4:$H$503,機種販売入力!$C$4:$C$503,$B10,機種販売入力!$B$4:$B$503,"&lt;&gt;YM"))</f>
        <v/>
      </c>
      <c r="F10" s="30">
        <f>IF($B10="","",N($D10)*E10)</f>
        <v/>
      </c>
      <c r="G10" s="57" t="n"/>
      <c r="I10" s="41" t="inlineStr">
        <is>
          <t>iPhone</t>
        </is>
      </c>
      <c r="J10" s="40" t="inlineStr">
        <is>
          <t>iPhone 16(256GB)</t>
        </is>
      </c>
      <c r="K10" s="41" t="inlineStr">
        <is>
          <t>M</t>
        </is>
      </c>
      <c r="L10" s="41" t="n"/>
      <c r="M10" s="30">
        <f>IF($J10="","",SUMIFS(機種販売入力!$H$4:$H$503,機種販売入力!$C$4:$C$503,$J10,機種販売入力!$B$4:$B$503,"YM"))</f>
        <v/>
      </c>
      <c r="N10" s="30">
        <f>IF($J10="","",N($L10)*M10)</f>
        <v/>
      </c>
      <c r="O10" s="57" t="n"/>
      <c r="Q10" s="9" t="inlineStr">
        <is>
          <t>合計</t>
        </is>
      </c>
      <c r="R10" s="38">
        <f>R8+R9</f>
        <v/>
      </c>
    </row>
    <row r="11">
      <c r="A11" s="41" t="inlineStr">
        <is>
          <t>iPhone</t>
        </is>
      </c>
      <c r="B11" s="40" t="inlineStr">
        <is>
          <t>iPhone 18 Pro Max(2TB)</t>
        </is>
      </c>
      <c r="C11" s="41" t="inlineStr">
        <is>
          <t>H</t>
        </is>
      </c>
      <c r="D11" s="41" t="n">
        <v>2</v>
      </c>
      <c r="E11" s="30">
        <f>IF($B11="","",SUMIFS(機種販売入力!$H$4:$H$503,機種販売入力!$C$4:$C$503,$B11,機種販売入力!$B$4:$B$503,"&lt;&gt;YM"))</f>
        <v/>
      </c>
      <c r="F11" s="30">
        <f>IF($B11="","",N($D11)*E11)</f>
        <v/>
      </c>
      <c r="G11" s="57" t="n"/>
      <c r="I11" s="41" t="inlineStr">
        <is>
          <t>iPhone</t>
        </is>
      </c>
      <c r="J11" s="40" t="inlineStr">
        <is>
          <t>iPhone 16(512GB)</t>
        </is>
      </c>
      <c r="K11" s="41" t="inlineStr">
        <is>
          <t>M</t>
        </is>
      </c>
      <c r="L11" s="41" t="n"/>
      <c r="M11" s="30">
        <f>IF($J11="","",SUMIFS(機種販売入力!$H$4:$H$503,機種販売入力!$C$4:$C$503,$J11,機種販売入力!$B$4:$B$503,"YM"))</f>
        <v/>
      </c>
      <c r="N11" s="30">
        <f>IF($J11="","",N($L11)*M11)</f>
        <v/>
      </c>
      <c r="O11" s="57" t="n"/>
    </row>
    <row r="12">
      <c r="A12" s="41" t="inlineStr">
        <is>
          <t>iPhone</t>
        </is>
      </c>
      <c r="B12" s="40" t="inlineStr">
        <is>
          <t>iPhone 17(256GB)</t>
        </is>
      </c>
      <c r="C12" s="41" t="inlineStr">
        <is>
          <t>H</t>
        </is>
      </c>
      <c r="D12" s="41" t="n">
        <v>2</v>
      </c>
      <c r="E12" s="30">
        <f>IF($B12="","",SUMIFS(機種販売入力!$H$4:$H$503,機種販売入力!$C$4:$C$503,$B12,機種販売入力!$B$4:$B$503,"&lt;&gt;YM"))</f>
        <v/>
      </c>
      <c r="F12" s="30">
        <f>IF($B12="","",N($D12)*E12)</f>
        <v/>
      </c>
      <c r="G12" s="57" t="n"/>
      <c r="I12" s="41" t="inlineStr">
        <is>
          <t>iPhone</t>
        </is>
      </c>
      <c r="J12" s="40" t="inlineStr">
        <is>
          <t>iPhone 15(128GB)</t>
        </is>
      </c>
      <c r="K12" s="41" t="inlineStr">
        <is>
          <t>M</t>
        </is>
      </c>
      <c r="L12" s="41" t="n"/>
      <c r="M12" s="30">
        <f>IF($J12="","",SUMIFS(機種販売入力!$H$4:$H$503,機種販売入力!$C$4:$C$503,$J12,機種販売入力!$B$4:$B$503,"YM"))</f>
        <v/>
      </c>
      <c r="N12" s="30">
        <f>IF($J12="","",N($L12)*M12)</f>
        <v/>
      </c>
      <c r="O12" s="57" t="n"/>
    </row>
    <row r="13">
      <c r="A13" s="41" t="inlineStr">
        <is>
          <t>iPhone</t>
        </is>
      </c>
      <c r="B13" s="40" t="inlineStr">
        <is>
          <t>iPhone 17(512GB)</t>
        </is>
      </c>
      <c r="C13" s="41" t="inlineStr">
        <is>
          <t>H</t>
        </is>
      </c>
      <c r="D13" s="41" t="n">
        <v>2</v>
      </c>
      <c r="E13" s="30">
        <f>IF($B13="","",SUMIFS(機種販売入力!$H$4:$H$503,機種販売入力!$C$4:$C$503,$B13,機種販売入力!$B$4:$B$503,"&lt;&gt;YM"))</f>
        <v/>
      </c>
      <c r="F13" s="30">
        <f>IF($B13="","",N($D13)*E13)</f>
        <v/>
      </c>
      <c r="G13" s="57" t="n"/>
      <c r="I13" s="41" t="inlineStr">
        <is>
          <t>iPhone</t>
        </is>
      </c>
      <c r="J13" s="40" t="inlineStr">
        <is>
          <t>iPhone 15(256GB)</t>
        </is>
      </c>
      <c r="K13" s="41" t="inlineStr">
        <is>
          <t>M</t>
        </is>
      </c>
      <c r="L13" s="41" t="n"/>
      <c r="M13" s="30">
        <f>IF($J13="","",SUMIFS(機種販売入力!$H$4:$H$503,機種販売入力!$C$4:$C$503,$J13,機種販売入力!$B$4:$B$503,"YM"))</f>
        <v/>
      </c>
      <c r="N13" s="30">
        <f>IF($J13="","",N($L13)*M13)</f>
        <v/>
      </c>
      <c r="O13" s="57" t="n"/>
    </row>
    <row r="14">
      <c r="A14" s="41" t="inlineStr">
        <is>
          <t>iPhone</t>
        </is>
      </c>
      <c r="B14" s="40" t="inlineStr">
        <is>
          <t>iPhone Air(256GB)</t>
        </is>
      </c>
      <c r="C14" s="41" t="inlineStr">
        <is>
          <t>H</t>
        </is>
      </c>
      <c r="D14" s="41" t="n">
        <v>2</v>
      </c>
      <c r="E14" s="30">
        <f>IF($B14="","",SUMIFS(機種販売入力!$H$4:$H$503,機種販売入力!$C$4:$C$503,$B14,機種販売入力!$B$4:$B$503,"&lt;&gt;YM"))</f>
        <v/>
      </c>
      <c r="F14" s="30">
        <f>IF($B14="","",N($D14)*E14)</f>
        <v/>
      </c>
      <c r="G14" s="57" t="n"/>
      <c r="I14" s="41" t="inlineStr">
        <is>
          <t>iPhone</t>
        </is>
      </c>
      <c r="J14" s="40" t="inlineStr">
        <is>
          <t>iPhone 15(512GB)</t>
        </is>
      </c>
      <c r="K14" s="41" t="inlineStr">
        <is>
          <t>M</t>
        </is>
      </c>
      <c r="L14" s="41" t="n"/>
      <c r="M14" s="30">
        <f>IF($J14="","",SUMIFS(機種販売入力!$H$4:$H$503,機種販売入力!$C$4:$C$503,$J14,機種販売入力!$B$4:$B$503,"YM"))</f>
        <v/>
      </c>
      <c r="N14" s="30">
        <f>IF($J14="","",N($L14)*M14)</f>
        <v/>
      </c>
      <c r="O14" s="57" t="n"/>
    </row>
    <row r="15">
      <c r="A15" s="41" t="inlineStr">
        <is>
          <t>iPhone</t>
        </is>
      </c>
      <c r="B15" s="40" t="inlineStr">
        <is>
          <t>iPhone Air(512GB)</t>
        </is>
      </c>
      <c r="C15" s="41" t="inlineStr">
        <is>
          <t>H</t>
        </is>
      </c>
      <c r="D15" s="41" t="n">
        <v>2</v>
      </c>
      <c r="E15" s="30">
        <f>IF($B15="","",SUMIFS(機種販売入力!$H$4:$H$503,機種販売入力!$C$4:$C$503,$B15,機種販売入力!$B$4:$B$503,"&lt;&gt;YM"))</f>
        <v/>
      </c>
      <c r="F15" s="30">
        <f>IF($B15="","",N($D15)*E15)</f>
        <v/>
      </c>
      <c r="G15" s="57" t="n"/>
      <c r="I15" s="41" t="inlineStr">
        <is>
          <t>iPhone</t>
        </is>
      </c>
      <c r="J15" s="40" t="inlineStr">
        <is>
          <t>iPhone 14(128GB)</t>
        </is>
      </c>
      <c r="K15" s="41" t="inlineStr">
        <is>
          <t>M</t>
        </is>
      </c>
      <c r="L15" s="41" t="n"/>
      <c r="M15" s="30">
        <f>IF($J15="","",SUMIFS(機種販売入力!$H$4:$H$503,機種販売入力!$C$4:$C$503,$J15,機種販売入力!$B$4:$B$503,"YM"))</f>
        <v/>
      </c>
      <c r="N15" s="30">
        <f>IF($J15="","",N($L15)*M15)</f>
        <v/>
      </c>
      <c r="O15" s="57" t="n"/>
    </row>
    <row r="16">
      <c r="A16" s="41" t="inlineStr">
        <is>
          <t>iPhone</t>
        </is>
      </c>
      <c r="B16" s="40" t="inlineStr">
        <is>
          <t>iPhone Air(1TB)</t>
        </is>
      </c>
      <c r="C16" s="41" t="inlineStr">
        <is>
          <t>H</t>
        </is>
      </c>
      <c r="D16" s="41" t="n">
        <v>2</v>
      </c>
      <c r="E16" s="30">
        <f>IF($B16="","",SUMIFS(機種販売入力!$H$4:$H$503,機種販売入力!$C$4:$C$503,$B16,機種販売入力!$B$4:$B$503,"&lt;&gt;YM"))</f>
        <v/>
      </c>
      <c r="F16" s="30">
        <f>IF($B16="","",N($D16)*E16)</f>
        <v/>
      </c>
      <c r="G16" s="57" t="n"/>
      <c r="I16" s="41" t="inlineStr">
        <is>
          <t>iPhone</t>
        </is>
      </c>
      <c r="J16" s="40" t="inlineStr">
        <is>
          <t>iPhone 14(256GB)</t>
        </is>
      </c>
      <c r="K16" s="41" t="inlineStr">
        <is>
          <t>M</t>
        </is>
      </c>
      <c r="L16" s="41" t="n"/>
      <c r="M16" s="30">
        <f>IF($J16="","",SUMIFS(機種販売入力!$H$4:$H$503,機種販売入力!$C$4:$C$503,$J16,機種販売入力!$B$4:$B$503,"YM"))</f>
        <v/>
      </c>
      <c r="N16" s="30">
        <f>IF($J16="","",N($L16)*M16)</f>
        <v/>
      </c>
      <c r="O16" s="57" t="n"/>
    </row>
    <row r="17">
      <c r="A17" s="41" t="inlineStr">
        <is>
          <t>iPhone</t>
        </is>
      </c>
      <c r="B17" s="40" t="inlineStr">
        <is>
          <t>iPhone 17 Pro(256GB)</t>
        </is>
      </c>
      <c r="C17" s="41" t="inlineStr">
        <is>
          <t>M</t>
        </is>
      </c>
      <c r="D17" s="41" t="n"/>
      <c r="E17" s="30">
        <f>IF($B17="","",SUMIFS(機種販売入力!$H$4:$H$503,機種販売入力!$C$4:$C$503,$B17,機種販売入力!$B$4:$B$503,"&lt;&gt;YM"))</f>
        <v/>
      </c>
      <c r="F17" s="30">
        <f>IF($B17="","",N($D17)*E17)</f>
        <v/>
      </c>
      <c r="G17" s="57" t="n"/>
      <c r="I17" s="41" t="inlineStr">
        <is>
          <t>iPhone</t>
        </is>
      </c>
      <c r="J17" s="40" t="inlineStr">
        <is>
          <t>iPhone 14(512GB)</t>
        </is>
      </c>
      <c r="K17" s="41" t="inlineStr">
        <is>
          <t>M</t>
        </is>
      </c>
      <c r="L17" s="41" t="n"/>
      <c r="M17" s="30">
        <f>IF($J17="","",SUMIFS(機種販売入力!$H$4:$H$503,機種販売入力!$C$4:$C$503,$J17,機種販売入力!$B$4:$B$503,"YM"))</f>
        <v/>
      </c>
      <c r="N17" s="30">
        <f>IF($J17="","",N($L17)*M17)</f>
        <v/>
      </c>
      <c r="O17" s="57" t="n"/>
    </row>
    <row r="18">
      <c r="A18" s="41" t="inlineStr">
        <is>
          <t>iPhone</t>
        </is>
      </c>
      <c r="B18" s="40" t="inlineStr">
        <is>
          <t>iPhone 17 Pro(512GB)</t>
        </is>
      </c>
      <c r="C18" s="41" t="inlineStr">
        <is>
          <t>M</t>
        </is>
      </c>
      <c r="D18" s="41" t="n"/>
      <c r="E18" s="30">
        <f>IF($B18="","",SUMIFS(機種販売入力!$H$4:$H$503,機種販売入力!$C$4:$C$503,$B18,機種販売入力!$B$4:$B$503,"&lt;&gt;YM"))</f>
        <v/>
      </c>
      <c r="F18" s="30">
        <f>IF($B18="","",N($D18)*E18)</f>
        <v/>
      </c>
      <c r="G18" s="57" t="n"/>
      <c r="I18" s="41" t="inlineStr">
        <is>
          <t>iPhone</t>
        </is>
      </c>
      <c r="J18" s="40" t="inlineStr">
        <is>
          <t>iPhone 13(128GB)</t>
        </is>
      </c>
      <c r="K18" s="41" t="inlineStr">
        <is>
          <t>M</t>
        </is>
      </c>
      <c r="L18" s="41" t="n"/>
      <c r="M18" s="30">
        <f>IF($J18="","",SUMIFS(機種販売入力!$H$4:$H$503,機種販売入力!$C$4:$C$503,$J18,機種販売入力!$B$4:$B$503,"YM"))</f>
        <v/>
      </c>
      <c r="N18" s="30">
        <f>IF($J18="","",N($L18)*M18)</f>
        <v/>
      </c>
      <c r="O18" s="57" t="n">
        <v>46478</v>
      </c>
    </row>
    <row r="19">
      <c r="A19" s="41" t="inlineStr">
        <is>
          <t>iPhone</t>
        </is>
      </c>
      <c r="B19" s="40" t="inlineStr">
        <is>
          <t>iPhone 17 Pro(1TB)</t>
        </is>
      </c>
      <c r="C19" s="41" t="inlineStr">
        <is>
          <t>M</t>
        </is>
      </c>
      <c r="D19" s="41" t="n"/>
      <c r="E19" s="30">
        <f>IF($B19="","",SUMIFS(機種販売入力!$H$4:$H$503,機種販売入力!$C$4:$C$503,$B19,機種販売入力!$B$4:$B$503,"&lt;&gt;YM"))</f>
        <v/>
      </c>
      <c r="F19" s="30">
        <f>IF($B19="","",N($D19)*E19)</f>
        <v/>
      </c>
      <c r="G19" s="57" t="n"/>
      <c r="I19" s="41" t="inlineStr">
        <is>
          <t>iPhone</t>
        </is>
      </c>
      <c r="J19" s="40" t="inlineStr">
        <is>
          <t>iPhone 13(256GB)</t>
        </is>
      </c>
      <c r="K19" s="41" t="inlineStr">
        <is>
          <t>M</t>
        </is>
      </c>
      <c r="L19" s="41" t="n"/>
      <c r="M19" s="30">
        <f>IF($J19="","",SUMIFS(機種販売入力!$H$4:$H$503,機種販売入力!$C$4:$C$503,$J19,機種販売入力!$B$4:$B$503,"YM"))</f>
        <v/>
      </c>
      <c r="N19" s="30">
        <f>IF($J19="","",N($L19)*M19)</f>
        <v/>
      </c>
      <c r="O19" s="57" t="n">
        <v>46478</v>
      </c>
    </row>
    <row r="20">
      <c r="A20" s="41" t="inlineStr">
        <is>
          <t>iPhone</t>
        </is>
      </c>
      <c r="B20" s="40" t="inlineStr">
        <is>
          <t>iPhone 17 Pro Max(256GB)</t>
        </is>
      </c>
      <c r="C20" s="41" t="inlineStr">
        <is>
          <t>M</t>
        </is>
      </c>
      <c r="D20" s="41" t="n"/>
      <c r="E20" s="30">
        <f>IF($B20="","",SUMIFS(機種販売入力!$H$4:$H$503,機種販売入力!$C$4:$C$503,$B20,機種販売入力!$B$4:$B$503,"&lt;&gt;YM"))</f>
        <v/>
      </c>
      <c r="F20" s="30">
        <f>IF($B20="","",N($D20)*E20)</f>
        <v/>
      </c>
      <c r="G20" s="57" t="n"/>
      <c r="I20" s="41" t="inlineStr">
        <is>
          <t>iPhone</t>
        </is>
      </c>
      <c r="J20" s="40" t="inlineStr">
        <is>
          <t>iPhone 13(512GB)</t>
        </is>
      </c>
      <c r="K20" s="41" t="inlineStr">
        <is>
          <t>M</t>
        </is>
      </c>
      <c r="L20" s="41" t="n"/>
      <c r="M20" s="30">
        <f>IF($J20="","",SUMIFS(機種販売入力!$H$4:$H$503,機種販売入力!$C$4:$C$503,$J20,機種販売入力!$B$4:$B$503,"YM"))</f>
        <v/>
      </c>
      <c r="N20" s="30">
        <f>IF($J20="","",N($L20)*M20)</f>
        <v/>
      </c>
      <c r="O20" s="57" t="n">
        <v>46478</v>
      </c>
    </row>
    <row r="21">
      <c r="A21" s="41" t="inlineStr">
        <is>
          <t>iPhone</t>
        </is>
      </c>
      <c r="B21" s="40" t="inlineStr">
        <is>
          <t>iPhone 17 Pro Max(512GB)</t>
        </is>
      </c>
      <c r="C21" s="41" t="inlineStr">
        <is>
          <t>M</t>
        </is>
      </c>
      <c r="D21" s="41" t="n"/>
      <c r="E21" s="30">
        <f>IF($B21="","",SUMIFS(機種販売入力!$H$4:$H$503,機種販売入力!$C$4:$C$503,$B21,機種販売入力!$B$4:$B$503,"&lt;&gt;YM"))</f>
        <v/>
      </c>
      <c r="F21" s="30">
        <f>IF($B21="","",N($D21)*E21)</f>
        <v/>
      </c>
      <c r="G21" s="57" t="n"/>
      <c r="I21" s="41" t="inlineStr">
        <is>
          <t>iPhone</t>
        </is>
      </c>
      <c r="J21" s="40" t="inlineStr">
        <is>
          <t>iPhone SE(第3世代)(64GB)</t>
        </is>
      </c>
      <c r="K21" s="41" t="inlineStr">
        <is>
          <t>M</t>
        </is>
      </c>
      <c r="L21" s="41" t="n"/>
      <c r="M21" s="30">
        <f>IF($J21="","",SUMIFS(機種販売入力!$H$4:$H$503,機種販売入力!$C$4:$C$503,$J21,機種販売入力!$B$4:$B$503,"YM"))</f>
        <v/>
      </c>
      <c r="N21" s="30">
        <f>IF($J21="","",N($L21)*M21)</f>
        <v/>
      </c>
      <c r="O21" s="57" t="n"/>
    </row>
    <row r="22">
      <c r="A22" s="41" t="inlineStr">
        <is>
          <t>iPhone</t>
        </is>
      </c>
      <c r="B22" s="40" t="inlineStr">
        <is>
          <t>iPhone 17 Pro Max(1TB)</t>
        </is>
      </c>
      <c r="C22" s="41" t="inlineStr">
        <is>
          <t>M</t>
        </is>
      </c>
      <c r="D22" s="41" t="n"/>
      <c r="E22" s="30">
        <f>IF($B22="","",SUMIFS(機種販売入力!$H$4:$H$503,機種販売入力!$C$4:$C$503,$B22,機種販売入力!$B$4:$B$503,"&lt;&gt;YM"))</f>
        <v/>
      </c>
      <c r="F22" s="30">
        <f>IF($B22="","",N($D22)*E22)</f>
        <v/>
      </c>
      <c r="G22" s="57" t="n"/>
      <c r="I22" s="41" t="inlineStr">
        <is>
          <t>iPhone</t>
        </is>
      </c>
      <c r="J22" s="40" t="inlineStr">
        <is>
          <t>iPhone SE(第3世代)(128GB)</t>
        </is>
      </c>
      <c r="K22" s="41" t="inlineStr">
        <is>
          <t>M</t>
        </is>
      </c>
      <c r="L22" s="41" t="n"/>
      <c r="M22" s="30">
        <f>IF($J22="","",SUMIFS(機種販売入力!$H$4:$H$503,機種販売入力!$C$4:$C$503,$J22,機種販売入力!$B$4:$B$503,"YM"))</f>
        <v/>
      </c>
      <c r="N22" s="30">
        <f>IF($J22="","",N($L22)*M22)</f>
        <v/>
      </c>
      <c r="O22" s="57" t="n"/>
    </row>
    <row r="23">
      <c r="A23" s="41" t="inlineStr">
        <is>
          <t>iPhone</t>
        </is>
      </c>
      <c r="B23" s="40" t="inlineStr">
        <is>
          <t>iPhone 17 Pro Max(2TB)</t>
        </is>
      </c>
      <c r="C23" s="41" t="inlineStr">
        <is>
          <t>M</t>
        </is>
      </c>
      <c r="D23" s="41" t="n"/>
      <c r="E23" s="30">
        <f>IF($B23="","",SUMIFS(機種販売入力!$H$4:$H$503,機種販売入力!$C$4:$C$503,$B23,機種販売入力!$B$4:$B$503,"&lt;&gt;YM"))</f>
        <v/>
      </c>
      <c r="F23" s="30">
        <f>IF($B23="","",N($D23)*E23)</f>
        <v/>
      </c>
      <c r="G23" s="57" t="n"/>
      <c r="I23" s="41" t="inlineStr">
        <is>
          <t>iPhone</t>
        </is>
      </c>
      <c r="J23" s="40" t="inlineStr">
        <is>
          <t>iPhone SE(第3世代)(256GB)</t>
        </is>
      </c>
      <c r="K23" s="41" t="inlineStr">
        <is>
          <t>M</t>
        </is>
      </c>
      <c r="L23" s="41" t="n"/>
      <c r="M23" s="30">
        <f>IF($J23="","",SUMIFS(機種販売入力!$H$4:$H$503,機種販売入力!$C$4:$C$503,$J23,機種販売入力!$B$4:$B$503,"YM"))</f>
        <v/>
      </c>
      <c r="N23" s="30">
        <f>IF($J23="","",N($L23)*M23)</f>
        <v/>
      </c>
      <c r="O23" s="57" t="n"/>
    </row>
    <row r="24">
      <c r="A24" s="41" t="inlineStr">
        <is>
          <t>iPhone</t>
        </is>
      </c>
      <c r="B24" s="40" t="inlineStr">
        <is>
          <t>iPhone 16(128GB)</t>
        </is>
      </c>
      <c r="C24" s="41" t="inlineStr">
        <is>
          <t>M</t>
        </is>
      </c>
      <c r="D24" s="41" t="n"/>
      <c r="E24" s="30">
        <f>IF($B24="","",SUMIFS(機種販売入力!$H$4:$H$503,機種販売入力!$C$4:$C$503,$B24,機種販売入力!$B$4:$B$503,"&lt;&gt;YM"))</f>
        <v/>
      </c>
      <c r="F24" s="30">
        <f>IF($B24="","",N($D24)*E24)</f>
        <v/>
      </c>
      <c r="G24" s="57" t="n"/>
      <c r="I24" s="41" t="inlineStr">
        <is>
          <t>Pixel</t>
        </is>
      </c>
      <c r="J24" s="40" t="inlineStr">
        <is>
          <t>Google Pixel 10a(128GB)</t>
        </is>
      </c>
      <c r="K24" s="41" t="inlineStr">
        <is>
          <t>M</t>
        </is>
      </c>
      <c r="L24" s="41" t="n">
        <v>4</v>
      </c>
      <c r="M24" s="30">
        <f>IF($J24="","",SUMIFS(機種販売入力!$H$4:$H$503,機種販売入力!$C$4:$C$503,$J24,機種販売入力!$B$4:$B$503,"YM"))</f>
        <v/>
      </c>
      <c r="N24" s="30">
        <f>IF($J24="","",N($L24)*M24)</f>
        <v/>
      </c>
      <c r="O24" s="57" t="n"/>
    </row>
    <row r="25">
      <c r="A25" s="41" t="inlineStr">
        <is>
          <t>iPhone</t>
        </is>
      </c>
      <c r="B25" s="40" t="inlineStr">
        <is>
          <t>iPhone 16(256GB)</t>
        </is>
      </c>
      <c r="C25" s="41" t="inlineStr">
        <is>
          <t>M</t>
        </is>
      </c>
      <c r="D25" s="41" t="n"/>
      <c r="E25" s="30">
        <f>IF($B25="","",SUMIFS(機種販売入力!$H$4:$H$503,機種販売入力!$C$4:$C$503,$B25,機種販売入力!$B$4:$B$503,"&lt;&gt;YM"))</f>
        <v/>
      </c>
      <c r="F25" s="30">
        <f>IF($B25="","",N($D25)*E25)</f>
        <v/>
      </c>
      <c r="G25" s="57" t="n"/>
      <c r="I25" s="41" t="inlineStr">
        <is>
          <t>Pixel</t>
        </is>
      </c>
      <c r="J25" s="40" t="inlineStr">
        <is>
          <t>Google Pixel 10a(256GB)</t>
        </is>
      </c>
      <c r="K25" s="41" t="inlineStr">
        <is>
          <t>M</t>
        </is>
      </c>
      <c r="L25" s="41" t="n">
        <v>4</v>
      </c>
      <c r="M25" s="30">
        <f>IF($J25="","",SUMIFS(機種販売入力!$H$4:$H$503,機種販売入力!$C$4:$C$503,$J25,機種販売入力!$B$4:$B$503,"YM"))</f>
        <v/>
      </c>
      <c r="N25" s="30">
        <f>IF($J25="","",N($L25)*M25)</f>
        <v/>
      </c>
      <c r="O25" s="57" t="n"/>
    </row>
    <row r="26">
      <c r="A26" s="41" t="inlineStr">
        <is>
          <t>iPhone</t>
        </is>
      </c>
      <c r="B26" s="40" t="inlineStr">
        <is>
          <t>iPhone 16(512GB)</t>
        </is>
      </c>
      <c r="C26" s="41" t="inlineStr">
        <is>
          <t>M</t>
        </is>
      </c>
      <c r="D26" s="41" t="n"/>
      <c r="E26" s="30">
        <f>IF($B26="","",SUMIFS(機種販売入力!$H$4:$H$503,機種販売入力!$C$4:$C$503,$B26,機種販売入力!$B$4:$B$503,"&lt;&gt;YM"))</f>
        <v/>
      </c>
      <c r="F26" s="30">
        <f>IF($B26="","",N($D26)*E26)</f>
        <v/>
      </c>
      <c r="G26" s="57" t="n"/>
      <c r="I26" s="41" t="inlineStr">
        <is>
          <t>Pixel</t>
        </is>
      </c>
      <c r="J26" s="40" t="inlineStr">
        <is>
          <t>Google Pixel 9a(128GB)</t>
        </is>
      </c>
      <c r="K26" s="41" t="inlineStr">
        <is>
          <t>M</t>
        </is>
      </c>
      <c r="L26" s="41" t="n">
        <v>4</v>
      </c>
      <c r="M26" s="30">
        <f>IF($J26="","",SUMIFS(機種販売入力!$H$4:$H$503,機種販売入力!$C$4:$C$503,$J26,機種販売入力!$B$4:$B$503,"YM"))</f>
        <v/>
      </c>
      <c r="N26" s="30">
        <f>IF($J26="","",N($L26)*M26)</f>
        <v/>
      </c>
      <c r="O26" s="57" t="n"/>
    </row>
    <row r="27">
      <c r="A27" s="41" t="inlineStr">
        <is>
          <t>iPhone</t>
        </is>
      </c>
      <c r="B27" s="40" t="inlineStr">
        <is>
          <t>iPhone 16 Plus(128GB)</t>
        </is>
      </c>
      <c r="C27" s="41" t="inlineStr">
        <is>
          <t>M</t>
        </is>
      </c>
      <c r="D27" s="41" t="n"/>
      <c r="E27" s="30">
        <f>IF($B27="","",SUMIFS(機種販売入力!$H$4:$H$503,機種販売入力!$C$4:$C$503,$B27,機種販売入力!$B$4:$B$503,"&lt;&gt;YM"))</f>
        <v/>
      </c>
      <c r="F27" s="30">
        <f>IF($B27="","",N($D27)*E27)</f>
        <v/>
      </c>
      <c r="G27" s="57" t="n"/>
      <c r="I27" s="41" t="inlineStr">
        <is>
          <t>Pixel</t>
        </is>
      </c>
      <c r="J27" s="40" t="inlineStr">
        <is>
          <t>Google Pixel 9a(256GB)</t>
        </is>
      </c>
      <c r="K27" s="41" t="inlineStr">
        <is>
          <t>M</t>
        </is>
      </c>
      <c r="L27" s="41" t="n">
        <v>4</v>
      </c>
      <c r="M27" s="30">
        <f>IF($J27="","",SUMIFS(機種販売入力!$H$4:$H$503,機種販売入力!$C$4:$C$503,$J27,機種販売入力!$B$4:$B$503,"YM"))</f>
        <v/>
      </c>
      <c r="N27" s="30">
        <f>IF($J27="","",N($L27)*M27)</f>
        <v/>
      </c>
      <c r="O27" s="57" t="n"/>
    </row>
    <row r="28">
      <c r="A28" s="41" t="inlineStr">
        <is>
          <t>iPhone</t>
        </is>
      </c>
      <c r="B28" s="40" t="inlineStr">
        <is>
          <t>iPhone 16 Plus(256GB)</t>
        </is>
      </c>
      <c r="C28" s="41" t="inlineStr">
        <is>
          <t>M</t>
        </is>
      </c>
      <c r="D28" s="41" t="n"/>
      <c r="E28" s="30">
        <f>IF($B28="","",SUMIFS(機種販売入力!$H$4:$H$503,機種販売入力!$C$4:$C$503,$B28,機種販売入力!$B$4:$B$503,"&lt;&gt;YM"))</f>
        <v/>
      </c>
      <c r="F28" s="30">
        <f>IF($B28="","",N($D28)*E28)</f>
        <v/>
      </c>
      <c r="G28" s="57" t="n"/>
      <c r="I28" s="41" t="inlineStr">
        <is>
          <t>Pixel</t>
        </is>
      </c>
      <c r="J28" s="40" t="inlineStr">
        <is>
          <t>Google Pixel 8a</t>
        </is>
      </c>
      <c r="K28" s="41" t="inlineStr">
        <is>
          <t>M</t>
        </is>
      </c>
      <c r="L28" s="41" t="n">
        <v>4</v>
      </c>
      <c r="M28" s="30">
        <f>IF($J28="","",SUMIFS(機種販売入力!$H$4:$H$503,機種販売入力!$C$4:$C$503,$J28,機種販売入力!$B$4:$B$503,"YM"))</f>
        <v/>
      </c>
      <c r="N28" s="30">
        <f>IF($J28="","",N($L28)*M28)</f>
        <v/>
      </c>
      <c r="O28" s="57" t="n">
        <v>46478</v>
      </c>
    </row>
    <row r="29">
      <c r="A29" s="41" t="inlineStr">
        <is>
          <t>iPhone</t>
        </is>
      </c>
      <c r="B29" s="40" t="inlineStr">
        <is>
          <t>iPhone 16 Plus(512GB)</t>
        </is>
      </c>
      <c r="C29" s="41" t="inlineStr">
        <is>
          <t>M</t>
        </is>
      </c>
      <c r="D29" s="41" t="n"/>
      <c r="E29" s="30">
        <f>IF($B29="","",SUMIFS(機種販売入力!$H$4:$H$503,機種販売入力!$C$4:$C$503,$B29,機種販売入力!$B$4:$B$503,"&lt;&gt;YM"))</f>
        <v/>
      </c>
      <c r="F29" s="30">
        <f>IF($B29="","",N($D29)*E29)</f>
        <v/>
      </c>
      <c r="G29" s="57" t="n"/>
      <c r="I29" s="41" t="inlineStr">
        <is>
          <t>Pixel</t>
        </is>
      </c>
      <c r="J29" s="40" t="inlineStr">
        <is>
          <t>Google Pixel 8</t>
        </is>
      </c>
      <c r="K29" s="41" t="inlineStr">
        <is>
          <t>M</t>
        </is>
      </c>
      <c r="L29" s="41" t="n">
        <v>4</v>
      </c>
      <c r="M29" s="30">
        <f>IF($J29="","",SUMIFS(機種販売入力!$H$4:$H$503,機種販売入力!$C$4:$C$503,$J29,機種販売入力!$B$4:$B$503,"YM"))</f>
        <v/>
      </c>
      <c r="N29" s="30">
        <f>IF($J29="","",N($L29)*M29)</f>
        <v/>
      </c>
      <c r="O29" s="57" t="n"/>
    </row>
    <row r="30">
      <c r="A30" s="41" t="inlineStr">
        <is>
          <t>iPhone</t>
        </is>
      </c>
      <c r="B30" s="40" t="inlineStr">
        <is>
          <t>iPhone 16 Pro(128GB)</t>
        </is>
      </c>
      <c r="C30" s="41" t="inlineStr">
        <is>
          <t>M</t>
        </is>
      </c>
      <c r="D30" s="41" t="n"/>
      <c r="E30" s="30">
        <f>IF($B30="","",SUMIFS(機種販売入力!$H$4:$H$503,機種販売入力!$C$4:$C$503,$B30,機種販売入力!$B$4:$B$503,"&lt;&gt;YM"))</f>
        <v/>
      </c>
      <c r="F30" s="30">
        <f>IF($B30="","",N($D30)*E30)</f>
        <v/>
      </c>
      <c r="G30" s="57" t="n"/>
      <c r="I30" s="41" t="inlineStr">
        <is>
          <t>Pixel</t>
        </is>
      </c>
      <c r="J30" s="40" t="inlineStr">
        <is>
          <t>Google Pixel 7a</t>
        </is>
      </c>
      <c r="K30" s="41" t="inlineStr">
        <is>
          <t>M</t>
        </is>
      </c>
      <c r="L30" s="41" t="n">
        <v>4</v>
      </c>
      <c r="M30" s="30">
        <f>IF($J30="","",SUMIFS(機種販売入力!$H$4:$H$503,機種販売入力!$C$4:$C$503,$J30,機種販売入力!$B$4:$B$503,"YM"))</f>
        <v/>
      </c>
      <c r="N30" s="30">
        <f>IF($J30="","",N($L30)*M30)</f>
        <v/>
      </c>
      <c r="O30" s="57" t="n"/>
    </row>
    <row r="31">
      <c r="A31" s="41" t="inlineStr">
        <is>
          <t>iPhone</t>
        </is>
      </c>
      <c r="B31" s="40" t="inlineStr">
        <is>
          <t>iPhone 16 Pro(256GB)</t>
        </is>
      </c>
      <c r="C31" s="41" t="inlineStr">
        <is>
          <t>M</t>
        </is>
      </c>
      <c r="D31" s="41" t="n"/>
      <c r="E31" s="30">
        <f>IF($B31="","",SUMIFS(機種販売入力!$H$4:$H$503,機種販売入力!$C$4:$C$503,$B31,機種販売入力!$B$4:$B$503,"&lt;&gt;YM"))</f>
        <v/>
      </c>
      <c r="F31" s="30">
        <f>IF($B31="","",N($D31)*E31)</f>
        <v/>
      </c>
      <c r="G31" s="57" t="n"/>
      <c r="I31" s="41" t="inlineStr">
        <is>
          <t>Android</t>
        </is>
      </c>
      <c r="J31" s="40" t="inlineStr">
        <is>
          <t>Android One S10</t>
        </is>
      </c>
      <c r="K31" s="41" t="inlineStr">
        <is>
          <t>L</t>
        </is>
      </c>
      <c r="L31" s="41" t="n"/>
      <c r="M31" s="30">
        <f>IF($J31="","",SUMIFS(機種販売入力!$H$4:$H$503,機種販売入力!$C$4:$C$503,$J31,機種販売入力!$B$4:$B$503,"YM"))</f>
        <v/>
      </c>
      <c r="N31" s="30">
        <f>IF($J31="","",N($L31)*M31)</f>
        <v/>
      </c>
      <c r="O31" s="57" t="n"/>
    </row>
    <row r="32">
      <c r="A32" s="41" t="inlineStr">
        <is>
          <t>iPhone</t>
        </is>
      </c>
      <c r="B32" s="40" t="inlineStr">
        <is>
          <t>iPhone 16 Pro(512GB)</t>
        </is>
      </c>
      <c r="C32" s="41" t="inlineStr">
        <is>
          <t>M</t>
        </is>
      </c>
      <c r="D32" s="41" t="n"/>
      <c r="E32" s="30">
        <f>IF($B32="","",SUMIFS(機種販売入力!$H$4:$H$503,機種販売入力!$C$4:$C$503,$B32,機種販売入力!$B$4:$B$503,"&lt;&gt;YM"))</f>
        <v/>
      </c>
      <c r="F32" s="30">
        <f>IF($B32="","",N($D32)*E32)</f>
        <v/>
      </c>
      <c r="G32" s="57" t="n"/>
      <c r="I32" s="41" t="inlineStr">
        <is>
          <t>Android</t>
        </is>
      </c>
      <c r="J32" s="40" t="inlineStr">
        <is>
          <t>Galaxy A25 5G</t>
        </is>
      </c>
      <c r="K32" s="41" t="inlineStr">
        <is>
          <t>L</t>
        </is>
      </c>
      <c r="L32" s="41" t="n"/>
      <c r="M32" s="30">
        <f>IF($J32="","",SUMIFS(機種販売入力!$H$4:$H$503,機種販売入力!$C$4:$C$503,$J32,機種販売入力!$B$4:$B$503,"YM"))</f>
        <v/>
      </c>
      <c r="N32" s="30">
        <f>IF($J32="","",N($L32)*M32)</f>
        <v/>
      </c>
      <c r="O32" s="57" t="n"/>
    </row>
    <row r="33">
      <c r="A33" s="41" t="inlineStr">
        <is>
          <t>iPhone</t>
        </is>
      </c>
      <c r="B33" s="40" t="inlineStr">
        <is>
          <t>iPhone 16 Pro(1TB)</t>
        </is>
      </c>
      <c r="C33" s="41" t="inlineStr">
        <is>
          <t>M</t>
        </is>
      </c>
      <c r="D33" s="41" t="n"/>
      <c r="E33" s="30">
        <f>IF($B33="","",SUMIFS(機種販売入力!$H$4:$H$503,機種販売入力!$C$4:$C$503,$B33,機種販売入力!$B$4:$B$503,"&lt;&gt;YM"))</f>
        <v/>
      </c>
      <c r="F33" s="30">
        <f>IF($B33="","",N($D33)*E33)</f>
        <v/>
      </c>
      <c r="G33" s="57" t="n"/>
      <c r="I33" s="41" t="inlineStr">
        <is>
          <t>Android</t>
        </is>
      </c>
      <c r="J33" s="40" t="inlineStr">
        <is>
          <t>moto g66y 5G</t>
        </is>
      </c>
      <c r="K33" s="41" t="inlineStr">
        <is>
          <t>L</t>
        </is>
      </c>
      <c r="L33" s="41" t="n"/>
      <c r="M33" s="30">
        <f>IF($J33="","",SUMIFS(機種販売入力!$H$4:$H$503,機種販売入力!$C$4:$C$503,$J33,機種販売入力!$B$4:$B$503,"YM"))</f>
        <v/>
      </c>
      <c r="N33" s="30">
        <f>IF($J33="","",N($L33)*M33)</f>
        <v/>
      </c>
      <c r="O33" s="57" t="n"/>
    </row>
    <row r="34">
      <c r="A34" s="41" t="inlineStr">
        <is>
          <t>iPhone</t>
        </is>
      </c>
      <c r="B34" s="40" t="inlineStr">
        <is>
          <t>iPhone 16 Pro Max(256GB)</t>
        </is>
      </c>
      <c r="C34" s="41" t="inlineStr">
        <is>
          <t>M</t>
        </is>
      </c>
      <c r="D34" s="41" t="n"/>
      <c r="E34" s="30">
        <f>IF($B34="","",SUMIFS(機種販売入力!$H$4:$H$503,機種販売入力!$C$4:$C$503,$B34,機種販売入力!$B$4:$B$503,"&lt;&gt;YM"))</f>
        <v/>
      </c>
      <c r="F34" s="30">
        <f>IF($B34="","",N($D34)*E34)</f>
        <v/>
      </c>
      <c r="G34" s="57" t="n"/>
      <c r="I34" s="41" t="inlineStr">
        <is>
          <t>Android</t>
        </is>
      </c>
      <c r="J34" s="40" t="inlineStr">
        <is>
          <t>moto g64y 5G</t>
        </is>
      </c>
      <c r="K34" s="41" t="inlineStr">
        <is>
          <t>L</t>
        </is>
      </c>
      <c r="L34" s="41" t="n"/>
      <c r="M34" s="30">
        <f>IF($J34="","",SUMIFS(機種販売入力!$H$4:$H$503,機種販売入力!$C$4:$C$503,$J34,機種販売入力!$B$4:$B$503,"YM"))</f>
        <v/>
      </c>
      <c r="N34" s="30">
        <f>IF($J34="","",N($L34)*M34)</f>
        <v/>
      </c>
      <c r="O34" s="57" t="n">
        <v>46478</v>
      </c>
    </row>
    <row r="35">
      <c r="A35" s="41" t="inlineStr">
        <is>
          <t>iPhone</t>
        </is>
      </c>
      <c r="B35" s="40" t="inlineStr">
        <is>
          <t>iPhone 16 Pro Max(512GB)</t>
        </is>
      </c>
      <c r="C35" s="41" t="inlineStr">
        <is>
          <t>M</t>
        </is>
      </c>
      <c r="D35" s="41" t="n"/>
      <c r="E35" s="30">
        <f>IF($B35="","",SUMIFS(機種販売入力!$H$4:$H$503,機種販売入力!$C$4:$C$503,$B35,機種販売入力!$B$4:$B$503,"&lt;&gt;YM"))</f>
        <v/>
      </c>
      <c r="F35" s="30">
        <f>IF($B35="","",N($D35)*E35)</f>
        <v/>
      </c>
      <c r="G35" s="57" t="n"/>
      <c r="I35" s="41" t="inlineStr">
        <is>
          <t>Android</t>
        </is>
      </c>
      <c r="J35" s="40" t="inlineStr">
        <is>
          <t>AQUOS Wish6</t>
        </is>
      </c>
      <c r="K35" s="41" t="inlineStr">
        <is>
          <t>L</t>
        </is>
      </c>
      <c r="L35" s="41" t="n"/>
      <c r="M35" s="30">
        <f>IF($J35="","",SUMIFS(機種販売入力!$H$4:$H$503,機種販売入力!$C$4:$C$503,$J35,機種販売入力!$B$4:$B$503,"YM"))</f>
        <v/>
      </c>
      <c r="N35" s="30">
        <f>IF($J35="","",N($L35)*M35)</f>
        <v/>
      </c>
      <c r="O35" s="57" t="n"/>
    </row>
    <row r="36">
      <c r="A36" s="41" t="inlineStr">
        <is>
          <t>iPhone</t>
        </is>
      </c>
      <c r="B36" s="40" t="inlineStr">
        <is>
          <t>iPhone 16 Pro Max(1TB)</t>
        </is>
      </c>
      <c r="C36" s="41" t="inlineStr">
        <is>
          <t>M</t>
        </is>
      </c>
      <c r="D36" s="41" t="n"/>
      <c r="E36" s="30">
        <f>IF($B36="","",SUMIFS(機種販売入力!$H$4:$H$503,機種販売入力!$C$4:$C$503,$B36,機種販売入力!$B$4:$B$503,"&lt;&gt;YM"))</f>
        <v/>
      </c>
      <c r="F36" s="30">
        <f>IF($B36="","",N($D36)*E36)</f>
        <v/>
      </c>
      <c r="G36" s="57" t="n"/>
      <c r="I36" s="41" t="inlineStr">
        <is>
          <t>Android</t>
        </is>
      </c>
      <c r="J36" s="40" t="inlineStr">
        <is>
          <t>AQUOS Wish5</t>
        </is>
      </c>
      <c r="K36" s="41" t="inlineStr">
        <is>
          <t>L</t>
        </is>
      </c>
      <c r="L36" s="41" t="n"/>
      <c r="M36" s="30">
        <f>IF($J36="","",SUMIFS(機種販売入力!$H$4:$H$503,機種販売入力!$C$4:$C$503,$J36,機種販売入力!$B$4:$B$503,"YM"))</f>
        <v/>
      </c>
      <c r="N36" s="30">
        <f>IF($J36="","",N($L36)*M36)</f>
        <v/>
      </c>
      <c r="O36" s="57" t="n"/>
    </row>
    <row r="37">
      <c r="A37" s="41" t="inlineStr">
        <is>
          <t>iPhone</t>
        </is>
      </c>
      <c r="B37" s="40" t="inlineStr">
        <is>
          <t>iPhone 17e(256GB)</t>
        </is>
      </c>
      <c r="C37" s="41" t="inlineStr">
        <is>
          <t>M</t>
        </is>
      </c>
      <c r="D37" s="41" t="n"/>
      <c r="E37" s="30">
        <f>IF($B37="","",SUMIFS(機種販売入力!$H$4:$H$503,機種販売入力!$C$4:$C$503,$B37,機種販売入力!$B$4:$B$503,"&lt;&gt;YM"))</f>
        <v/>
      </c>
      <c r="F37" s="30">
        <f>IF($B37="","",N($D37)*E37)</f>
        <v/>
      </c>
      <c r="G37" s="57" t="n"/>
      <c r="I37" s="41" t="inlineStr">
        <is>
          <t>Android</t>
        </is>
      </c>
      <c r="J37" s="40" t="inlineStr">
        <is>
          <t>AQUOS Wish4</t>
        </is>
      </c>
      <c r="K37" s="41" t="inlineStr">
        <is>
          <t>L</t>
        </is>
      </c>
      <c r="L37" s="41" t="n"/>
      <c r="M37" s="30">
        <f>IF($J37="","",SUMIFS(機種販売入力!$H$4:$H$503,機種販売入力!$C$4:$C$503,$J37,機種販売入力!$B$4:$B$503,"YM"))</f>
        <v/>
      </c>
      <c r="N37" s="30">
        <f>IF($J37="","",N($L37)*M37)</f>
        <v/>
      </c>
      <c r="O37" s="57" t="n">
        <v>46478</v>
      </c>
    </row>
    <row r="38">
      <c r="A38" s="41" t="inlineStr">
        <is>
          <t>iPhone</t>
        </is>
      </c>
      <c r="B38" s="40" t="inlineStr">
        <is>
          <t>iPhone 17e(512GB)</t>
        </is>
      </c>
      <c r="C38" s="41" t="inlineStr">
        <is>
          <t>M</t>
        </is>
      </c>
      <c r="D38" s="41" t="n"/>
      <c r="E38" s="30">
        <f>IF($B38="","",SUMIFS(機種販売入力!$H$4:$H$503,機種販売入力!$C$4:$C$503,$B38,機種販売入力!$B$4:$B$503,"&lt;&gt;YM"))</f>
        <v/>
      </c>
      <c r="F38" s="30">
        <f>IF($B38="","",N($D38)*E38)</f>
        <v/>
      </c>
      <c r="G38" s="57" t="n"/>
      <c r="I38" s="41" t="inlineStr">
        <is>
          <t>Android</t>
        </is>
      </c>
      <c r="J38" s="40" t="inlineStr">
        <is>
          <t>OPPO Reno15 A</t>
        </is>
      </c>
      <c r="K38" s="41" t="inlineStr">
        <is>
          <t>L</t>
        </is>
      </c>
      <c r="L38" s="41" t="n"/>
      <c r="M38" s="30">
        <f>IF($J38="","",SUMIFS(機種販売入力!$H$4:$H$503,機種販売入力!$C$4:$C$503,$J38,機種販売入力!$B$4:$B$503,"YM"))</f>
        <v/>
      </c>
      <c r="N38" s="30">
        <f>IF($J38="","",N($L38)*M38)</f>
        <v/>
      </c>
      <c r="O38" s="57" t="n"/>
    </row>
    <row r="39">
      <c r="A39" s="41" t="inlineStr">
        <is>
          <t>iPhone</t>
        </is>
      </c>
      <c r="B39" s="40" t="inlineStr">
        <is>
          <t>iPhone 16e(128GB)</t>
        </is>
      </c>
      <c r="C39" s="41" t="inlineStr">
        <is>
          <t>M</t>
        </is>
      </c>
      <c r="D39" s="41" t="n"/>
      <c r="E39" s="30">
        <f>IF($B39="","",SUMIFS(機種販売入力!$H$4:$H$503,機種販売入力!$C$4:$C$503,$B39,機種販売入力!$B$4:$B$503,"&lt;&gt;YM"))</f>
        <v/>
      </c>
      <c r="F39" s="30">
        <f>IF($B39="","",N($D39)*E39)</f>
        <v/>
      </c>
      <c r="G39" s="57" t="n"/>
      <c r="I39" s="41" t="inlineStr">
        <is>
          <t>Android</t>
        </is>
      </c>
      <c r="J39" s="40" t="inlineStr">
        <is>
          <t>OPPO Reno13 A</t>
        </is>
      </c>
      <c r="K39" s="41" t="inlineStr">
        <is>
          <t>L</t>
        </is>
      </c>
      <c r="L39" s="41" t="n"/>
      <c r="M39" s="30">
        <f>IF($J39="","",SUMIFS(機種販売入力!$H$4:$H$503,機種販売入力!$C$4:$C$503,$J39,機種販売入力!$B$4:$B$503,"YM"))</f>
        <v/>
      </c>
      <c r="N39" s="30">
        <f>IF($J39="","",N($L39)*M39)</f>
        <v/>
      </c>
      <c r="O39" s="57" t="n"/>
    </row>
    <row r="40">
      <c r="A40" s="41" t="inlineStr">
        <is>
          <t>iPhone</t>
        </is>
      </c>
      <c r="B40" s="40" t="inlineStr">
        <is>
          <t>iPhone 16e(256GB)</t>
        </is>
      </c>
      <c r="C40" s="41" t="inlineStr">
        <is>
          <t>M</t>
        </is>
      </c>
      <c r="D40" s="41" t="n"/>
      <c r="E40" s="30">
        <f>IF($B40="","",SUMIFS(機種販売入力!$H$4:$H$503,機種販売入力!$C$4:$C$503,$B40,機種販売入力!$B$4:$B$503,"&lt;&gt;YM"))</f>
        <v/>
      </c>
      <c r="F40" s="30">
        <f>IF($B40="","",N($D40)*E40)</f>
        <v/>
      </c>
      <c r="G40" s="57" t="n"/>
      <c r="I40" s="41" t="inlineStr">
        <is>
          <t>Android</t>
        </is>
      </c>
      <c r="J40" s="40" t="inlineStr">
        <is>
          <t>OPPO Reno11 A</t>
        </is>
      </c>
      <c r="K40" s="41" t="inlineStr">
        <is>
          <t>L</t>
        </is>
      </c>
      <c r="L40" s="41" t="n"/>
      <c r="M40" s="30">
        <f>IF($J40="","",SUMIFS(機種販売入力!$H$4:$H$503,機種販売入力!$C$4:$C$503,$J40,機種販売入力!$B$4:$B$503,"YM"))</f>
        <v/>
      </c>
      <c r="N40" s="30">
        <f>IF($J40="","",N($L40)*M40)</f>
        <v/>
      </c>
      <c r="O40" s="57" t="n">
        <v>46478</v>
      </c>
    </row>
    <row r="41">
      <c r="A41" s="41" t="inlineStr">
        <is>
          <t>iPhone</t>
        </is>
      </c>
      <c r="B41" s="40" t="inlineStr">
        <is>
          <t>iPhone 16e(512GB)</t>
        </is>
      </c>
      <c r="C41" s="41" t="inlineStr">
        <is>
          <t>M</t>
        </is>
      </c>
      <c r="D41" s="41" t="n"/>
      <c r="E41" s="30">
        <f>IF($B41="","",SUMIFS(機種販売入力!$H$4:$H$503,機種販売入力!$C$4:$C$503,$B41,機種販売入力!$B$4:$B$503,"&lt;&gt;YM"))</f>
        <v/>
      </c>
      <c r="F41" s="30">
        <f>IF($B41="","",N($D41)*E41)</f>
        <v/>
      </c>
      <c r="G41" s="57" t="n"/>
      <c r="I41" s="41" t="inlineStr">
        <is>
          <t>Android</t>
        </is>
      </c>
      <c r="J41" s="40" t="inlineStr">
        <is>
          <t>OPPO A5 5G</t>
        </is>
      </c>
      <c r="K41" s="41" t="inlineStr">
        <is>
          <t>L</t>
        </is>
      </c>
      <c r="L41" s="41" t="n"/>
      <c r="M41" s="30">
        <f>IF($J41="","",SUMIFS(機種販売入力!$H$4:$H$503,機種販売入力!$C$4:$C$503,$J41,機種販売入力!$B$4:$B$503,"YM"))</f>
        <v/>
      </c>
      <c r="N41" s="30">
        <f>IF($J41="","",N($L41)*M41)</f>
        <v/>
      </c>
      <c r="O41" s="57" t="n"/>
    </row>
    <row r="42">
      <c r="A42" s="41" t="inlineStr">
        <is>
          <t>iPhone</t>
        </is>
      </c>
      <c r="B42" s="40" t="inlineStr">
        <is>
          <t>iPhone 15(128GB)</t>
        </is>
      </c>
      <c r="C42" s="41" t="inlineStr">
        <is>
          <t>M</t>
        </is>
      </c>
      <c r="D42" s="41" t="n"/>
      <c r="E42" s="30">
        <f>IF($B42="","",SUMIFS(機種販売入力!$H$4:$H$503,機種販売入力!$C$4:$C$503,$B42,機種販売入力!$B$4:$B$503,"&lt;&gt;YM"))</f>
        <v/>
      </c>
      <c r="F42" s="30">
        <f>IF($B42="","",N($D42)*E42)</f>
        <v/>
      </c>
      <c r="G42" s="57" t="n"/>
      <c r="I42" s="41" t="inlineStr">
        <is>
          <t>Android</t>
        </is>
      </c>
      <c r="J42" s="40" t="inlineStr">
        <is>
          <t>OPPO A3 5G</t>
        </is>
      </c>
      <c r="K42" s="41" t="inlineStr">
        <is>
          <t>L</t>
        </is>
      </c>
      <c r="L42" s="41" t="n"/>
      <c r="M42" s="30">
        <f>IF($J42="","",SUMIFS(機種販売入力!$H$4:$H$503,機種販売入力!$C$4:$C$503,$J42,機種販売入力!$B$4:$B$503,"YM"))</f>
        <v/>
      </c>
      <c r="N42" s="30">
        <f>IF($J42="","",N($L42)*M42)</f>
        <v/>
      </c>
      <c r="O42" s="57" t="n"/>
    </row>
    <row r="43">
      <c r="A43" s="41" t="inlineStr">
        <is>
          <t>iPhone</t>
        </is>
      </c>
      <c r="B43" s="40" t="inlineStr">
        <is>
          <t>iPhone 15(256GB)</t>
        </is>
      </c>
      <c r="C43" s="41" t="inlineStr">
        <is>
          <t>M</t>
        </is>
      </c>
      <c r="D43" s="41" t="n"/>
      <c r="E43" s="30">
        <f>IF($B43="","",SUMIFS(機種販売入力!$H$4:$H$503,機種販売入力!$C$4:$C$503,$B43,機種販売入力!$B$4:$B$503,"&lt;&gt;YM"))</f>
        <v/>
      </c>
      <c r="F43" s="30">
        <f>IF($B43="","",N($D43)*E43)</f>
        <v/>
      </c>
      <c r="G43" s="57" t="n"/>
      <c r="I43" s="41" t="inlineStr">
        <is>
          <t>Android</t>
        </is>
      </c>
      <c r="J43" s="40" t="inlineStr">
        <is>
          <t>nubia Fold</t>
        </is>
      </c>
      <c r="K43" s="41" t="inlineStr">
        <is>
          <t>H</t>
        </is>
      </c>
      <c r="L43" s="41" t="n">
        <v>2</v>
      </c>
      <c r="M43" s="30">
        <f>IF($J43="","",SUMIFS(機種販売入力!$H$4:$H$503,機種販売入力!$C$4:$C$503,$J43,機種販売入力!$B$4:$B$503,"YM"))</f>
        <v/>
      </c>
      <c r="N43" s="30">
        <f>IF($J43="","",N($L43)*M43)</f>
        <v/>
      </c>
      <c r="O43" s="57" t="n"/>
    </row>
    <row r="44">
      <c r="A44" s="41" t="inlineStr">
        <is>
          <t>iPhone</t>
        </is>
      </c>
      <c r="B44" s="40" t="inlineStr">
        <is>
          <t>iPhone 15(512GB)</t>
        </is>
      </c>
      <c r="C44" s="41" t="inlineStr">
        <is>
          <t>M</t>
        </is>
      </c>
      <c r="D44" s="41" t="n"/>
      <c r="E44" s="30">
        <f>IF($B44="","",SUMIFS(機種販売入力!$H$4:$H$503,機種販売入力!$C$4:$C$503,$B44,機種販売入力!$B$4:$B$503,"&lt;&gt;YM"))</f>
        <v/>
      </c>
      <c r="F44" s="30">
        <f>IF($B44="","",N($D44)*E44)</f>
        <v/>
      </c>
      <c r="G44" s="57" t="n"/>
      <c r="I44" s="41" t="inlineStr">
        <is>
          <t>Android</t>
        </is>
      </c>
      <c r="J44" s="40" t="inlineStr">
        <is>
          <t>nubia Flip2</t>
        </is>
      </c>
      <c r="K44" s="41" t="inlineStr">
        <is>
          <t>M</t>
        </is>
      </c>
      <c r="L44" s="41" t="n">
        <v>2</v>
      </c>
      <c r="M44" s="30">
        <f>IF($J44="","",SUMIFS(機種販売入力!$H$4:$H$503,機種販売入力!$C$4:$C$503,$J44,機種販売入力!$B$4:$B$503,"YM"))</f>
        <v/>
      </c>
      <c r="N44" s="30">
        <f>IF($J44="","",N($L44)*M44)</f>
        <v/>
      </c>
      <c r="O44" s="57" t="n"/>
    </row>
    <row r="45">
      <c r="A45" s="41" t="inlineStr">
        <is>
          <t>iPhone</t>
        </is>
      </c>
      <c r="B45" s="40" t="inlineStr">
        <is>
          <t>iPhone 15 Pro(128GB)</t>
        </is>
      </c>
      <c r="C45" s="41" t="inlineStr">
        <is>
          <t>M</t>
        </is>
      </c>
      <c r="D45" s="41" t="n"/>
      <c r="E45" s="30">
        <f>IF($B45="","",SUMIFS(機種販売入力!$H$4:$H$503,機種販売入力!$C$4:$C$503,$B45,機種販売入力!$B$4:$B$503,"&lt;&gt;YM"))</f>
        <v/>
      </c>
      <c r="F45" s="30">
        <f>IF($B45="","",N($D45)*E45)</f>
        <v/>
      </c>
      <c r="G45" s="57" t="n"/>
      <c r="I45" s="41" t="inlineStr">
        <is>
          <t>Android</t>
        </is>
      </c>
      <c r="J45" s="40" t="inlineStr">
        <is>
          <t>nubia Flip3</t>
        </is>
      </c>
      <c r="K45" s="41" t="inlineStr">
        <is>
          <t>M</t>
        </is>
      </c>
      <c r="L45" s="41" t="n">
        <v>2</v>
      </c>
      <c r="M45" s="30">
        <f>IF($J45="","",SUMIFS(機種販売入力!$H$4:$H$503,機種販売入力!$C$4:$C$503,$J45,機種販売入力!$B$4:$B$503,"YM"))</f>
        <v/>
      </c>
      <c r="N45" s="30">
        <f>IF($J45="","",N($L45)*M45)</f>
        <v/>
      </c>
      <c r="O45" s="57" t="n"/>
    </row>
    <row r="46">
      <c r="A46" s="41" t="inlineStr">
        <is>
          <t>iPhone</t>
        </is>
      </c>
      <c r="B46" s="40" t="inlineStr">
        <is>
          <t>iPhone 15 Pro(256GB)</t>
        </is>
      </c>
      <c r="C46" s="41" t="inlineStr">
        <is>
          <t>M</t>
        </is>
      </c>
      <c r="D46" s="41" t="n"/>
      <c r="E46" s="30">
        <f>IF($B46="","",SUMIFS(機種販売入力!$H$4:$H$503,機種販売入力!$C$4:$C$503,$B46,機種販売入力!$B$4:$B$503,"&lt;&gt;YM"))</f>
        <v/>
      </c>
      <c r="F46" s="30">
        <f>IF($B46="","",N($D46)*E46)</f>
        <v/>
      </c>
      <c r="G46" s="57" t="n"/>
      <c r="I46" s="41" t="inlineStr">
        <is>
          <t>Android</t>
        </is>
      </c>
      <c r="J46" s="40" t="inlineStr">
        <is>
          <t>nubia S2 5G</t>
        </is>
      </c>
      <c r="K46" s="41" t="inlineStr">
        <is>
          <t>L</t>
        </is>
      </c>
      <c r="L46" s="41" t="n"/>
      <c r="M46" s="30">
        <f>IF($J46="","",SUMIFS(機種販売入力!$H$4:$H$503,機種販売入力!$C$4:$C$503,$J46,機種販売入力!$B$4:$B$503,"YM"))</f>
        <v/>
      </c>
      <c r="N46" s="30">
        <f>IF($J46="","",N($L46)*M46)</f>
        <v/>
      </c>
      <c r="O46" s="57" t="n"/>
    </row>
    <row r="47">
      <c r="A47" s="41" t="inlineStr">
        <is>
          <t>iPhone</t>
        </is>
      </c>
      <c r="B47" s="40" t="inlineStr">
        <is>
          <t>iPhone 15 Pro(512GB)</t>
        </is>
      </c>
      <c r="C47" s="41" t="inlineStr">
        <is>
          <t>M</t>
        </is>
      </c>
      <c r="D47" s="41" t="n"/>
      <c r="E47" s="30">
        <f>IF($B47="","",SUMIFS(機種販売入力!$H$4:$H$503,機種販売入力!$C$4:$C$503,$B47,機種販売入力!$B$4:$B$503,"&lt;&gt;YM"))</f>
        <v/>
      </c>
      <c r="F47" s="30">
        <f>IF($B47="","",N($D47)*E47)</f>
        <v/>
      </c>
      <c r="G47" s="57" t="n"/>
      <c r="I47" s="41" t="inlineStr">
        <is>
          <t>Android</t>
        </is>
      </c>
      <c r="J47" s="40" t="inlineStr">
        <is>
          <t>nubia S2e</t>
        </is>
      </c>
      <c r="K47" s="41" t="inlineStr">
        <is>
          <t>L</t>
        </is>
      </c>
      <c r="L47" s="41" t="n"/>
      <c r="M47" s="30">
        <f>IF($J47="","",SUMIFS(機種販売入力!$H$4:$H$503,機種販売入力!$C$4:$C$503,$J47,機種販売入力!$B$4:$B$503,"YM"))</f>
        <v/>
      </c>
      <c r="N47" s="30">
        <f>IF($J47="","",N($L47)*M47)</f>
        <v/>
      </c>
      <c r="O47" s="57" t="n"/>
    </row>
    <row r="48">
      <c r="A48" s="41" t="inlineStr">
        <is>
          <t>iPhone</t>
        </is>
      </c>
      <c r="B48" s="40" t="inlineStr">
        <is>
          <t>iPhone 15 Pro(1TB)</t>
        </is>
      </c>
      <c r="C48" s="41" t="inlineStr">
        <is>
          <t>M</t>
        </is>
      </c>
      <c r="D48" s="41" t="n"/>
      <c r="E48" s="30">
        <f>IF($B48="","",SUMIFS(機種販売入力!$H$4:$H$503,機種販売入力!$C$4:$C$503,$B48,機種販売入力!$B$4:$B$503,"&lt;&gt;YM"))</f>
        <v/>
      </c>
      <c r="F48" s="30">
        <f>IF($B48="","",N($D48)*E48)</f>
        <v/>
      </c>
      <c r="G48" s="57" t="n"/>
      <c r="I48" s="41" t="inlineStr">
        <is>
          <t>Android</t>
        </is>
      </c>
      <c r="J48" s="40" t="inlineStr">
        <is>
          <t>nubia S 5G</t>
        </is>
      </c>
      <c r="K48" s="41" t="inlineStr">
        <is>
          <t>L</t>
        </is>
      </c>
      <c r="L48" s="41" t="n"/>
      <c r="M48" s="30">
        <f>IF($J48="","",SUMIFS(機種販売入力!$H$4:$H$503,機種販売入力!$C$4:$C$503,$J48,機種販売入力!$B$4:$B$503,"YM"))</f>
        <v/>
      </c>
      <c r="N48" s="30">
        <f>IF($J48="","",N($L48)*M48)</f>
        <v/>
      </c>
      <c r="O48" s="57" t="n"/>
    </row>
    <row r="49">
      <c r="A49" s="41" t="inlineStr">
        <is>
          <t>iPhone</t>
        </is>
      </c>
      <c r="B49" s="40" t="inlineStr">
        <is>
          <t>iPhone 15 Pro Max(256GB)</t>
        </is>
      </c>
      <c r="C49" s="41" t="inlineStr">
        <is>
          <t>M</t>
        </is>
      </c>
      <c r="D49" s="41" t="n"/>
      <c r="E49" s="30">
        <f>IF($B49="","",SUMIFS(機種販売入力!$H$4:$H$503,機種販売入力!$C$4:$C$503,$B49,機種販売入力!$B$4:$B$503,"&lt;&gt;YM"))</f>
        <v/>
      </c>
      <c r="F49" s="30">
        <f>IF($B49="","",N($D49)*E49)</f>
        <v/>
      </c>
      <c r="G49" s="57" t="n"/>
      <c r="I49" s="41" t="inlineStr">
        <is>
          <t>Android</t>
        </is>
      </c>
      <c r="J49" s="40" t="inlineStr">
        <is>
          <t>らくらくスマートフォンa</t>
        </is>
      </c>
      <c r="K49" s="41" t="inlineStr">
        <is>
          <t>L</t>
        </is>
      </c>
      <c r="L49" s="41" t="n"/>
      <c r="M49" s="30">
        <f>IF($J49="","",SUMIFS(機種販売入力!$H$4:$H$503,機種販売入力!$C$4:$C$503,$J49,機種販売入力!$B$4:$B$503,"YM"))</f>
        <v/>
      </c>
      <c r="N49" s="30">
        <f>IF($J49="","",N($L49)*M49)</f>
        <v/>
      </c>
      <c r="O49" s="57" t="n"/>
    </row>
    <row r="50">
      <c r="A50" s="41" t="inlineStr">
        <is>
          <t>iPhone</t>
        </is>
      </c>
      <c r="B50" s="40" t="inlineStr">
        <is>
          <t>iPhone 15 Pro Max(512GB)</t>
        </is>
      </c>
      <c r="C50" s="41" t="inlineStr">
        <is>
          <t>M</t>
        </is>
      </c>
      <c r="D50" s="41" t="n"/>
      <c r="E50" s="30">
        <f>IF($B50="","",SUMIFS(機種販売入力!$H$4:$H$503,機種販売入力!$C$4:$C$503,$B50,機種販売入力!$B$4:$B$503,"&lt;&gt;YM"))</f>
        <v/>
      </c>
      <c r="F50" s="30">
        <f>IF($B50="","",N($D50)*E50)</f>
        <v/>
      </c>
      <c r="G50" s="57" t="n"/>
      <c r="I50" s="41" t="inlineStr">
        <is>
          <t>Android</t>
        </is>
      </c>
      <c r="J50" s="40" t="inlineStr">
        <is>
          <t>かんたんスマホ5</t>
        </is>
      </c>
      <c r="K50" s="41" t="inlineStr">
        <is>
          <t>L</t>
        </is>
      </c>
      <c r="L50" s="41" t="n"/>
      <c r="M50" s="30">
        <f>IF($J50="","",SUMIFS(機種販売入力!$H$4:$H$503,機種販売入力!$C$4:$C$503,$J50,機種販売入力!$B$4:$B$503,"YM"))</f>
        <v/>
      </c>
      <c r="N50" s="30">
        <f>IF($J50="","",N($L50)*M50)</f>
        <v/>
      </c>
      <c r="O50" s="57" t="n"/>
    </row>
    <row r="51">
      <c r="A51" s="41" t="inlineStr">
        <is>
          <t>iPhone</t>
        </is>
      </c>
      <c r="B51" s="40" t="inlineStr">
        <is>
          <t>iPhone 15 Pro Max(1TB)</t>
        </is>
      </c>
      <c r="C51" s="41" t="inlineStr">
        <is>
          <t>M</t>
        </is>
      </c>
      <c r="D51" s="41" t="n"/>
      <c r="E51" s="30">
        <f>IF($B51="","",SUMIFS(機種販売入力!$H$4:$H$503,機種販売入力!$C$4:$C$503,$B51,機種販売入力!$B$4:$B$503,"&lt;&gt;YM"))</f>
        <v/>
      </c>
      <c r="F51" s="30">
        <f>IF($B51="","",N($D51)*E51)</f>
        <v/>
      </c>
      <c r="G51" s="57" t="n"/>
      <c r="I51" s="41" t="inlineStr">
        <is>
          <t>Android</t>
        </is>
      </c>
      <c r="J51" s="40" t="inlineStr">
        <is>
          <t>かんたんスマホ4</t>
        </is>
      </c>
      <c r="K51" s="41" t="inlineStr">
        <is>
          <t>L</t>
        </is>
      </c>
      <c r="L51" s="41" t="n"/>
      <c r="M51" s="30">
        <f>IF($J51="","",SUMIFS(機種販売入力!$H$4:$H$503,機種販売入力!$C$4:$C$503,$J51,機種販売入力!$B$4:$B$503,"YM"))</f>
        <v/>
      </c>
      <c r="N51" s="30">
        <f>IF($J51="","",N($L51)*M51)</f>
        <v/>
      </c>
      <c r="O51" s="57" t="n"/>
    </row>
    <row r="52">
      <c r="A52" s="41" t="inlineStr">
        <is>
          <t>iPhone</t>
        </is>
      </c>
      <c r="B52" s="40" t="inlineStr">
        <is>
          <t>iPhone 15 Plus(128GB)</t>
        </is>
      </c>
      <c r="C52" s="41" t="inlineStr">
        <is>
          <t>M</t>
        </is>
      </c>
      <c r="D52" s="41" t="n"/>
      <c r="E52" s="30">
        <f>IF($B52="","",SUMIFS(機種販売入力!$H$4:$H$503,機種販売入力!$C$4:$C$503,$B52,機種販売入力!$B$4:$B$503,"&lt;&gt;YM"))</f>
        <v/>
      </c>
      <c r="F52" s="30">
        <f>IF($B52="","",N($D52)*E52)</f>
        <v/>
      </c>
      <c r="G52" s="57" t="n"/>
      <c r="I52" s="41" t="inlineStr">
        <is>
          <t>ケータイ</t>
        </is>
      </c>
      <c r="J52" s="40" t="inlineStr">
        <is>
          <t>DIGNOケータイ4</t>
        </is>
      </c>
      <c r="K52" s="41" t="inlineStr">
        <is>
          <t>L</t>
        </is>
      </c>
      <c r="L52" s="41" t="n"/>
      <c r="M52" s="30">
        <f>IF($J52="","",SUMIFS(機種販売入力!$H$4:$H$503,機種販売入力!$C$4:$C$503,$J52,機種販売入力!$B$4:$B$503,"YM"))</f>
        <v/>
      </c>
      <c r="N52" s="30">
        <f>IF($J52="","",N($L52)*M52)</f>
        <v/>
      </c>
      <c r="O52" s="57" t="n"/>
    </row>
    <row r="53">
      <c r="A53" s="41" t="inlineStr">
        <is>
          <t>iPhone</t>
        </is>
      </c>
      <c r="B53" s="40" t="inlineStr">
        <is>
          <t>iPhone 15 Plus(256GB)</t>
        </is>
      </c>
      <c r="C53" s="41" t="inlineStr">
        <is>
          <t>M</t>
        </is>
      </c>
      <c r="D53" s="41" t="n"/>
      <c r="E53" s="30">
        <f>IF($B53="","",SUMIFS(機種販売入力!$H$4:$H$503,機種販売入力!$C$4:$C$503,$B53,機種販売入力!$B$4:$B$503,"&lt;&gt;YM"))</f>
        <v/>
      </c>
      <c r="F53" s="30">
        <f>IF($B53="","",N($D53)*E53)</f>
        <v/>
      </c>
      <c r="G53" s="57" t="n"/>
      <c r="I53" s="41" t="inlineStr">
        <is>
          <t>ケータイ</t>
        </is>
      </c>
      <c r="J53" s="40" t="inlineStr">
        <is>
          <t>AQUOSケータイ4</t>
        </is>
      </c>
      <c r="K53" s="41" t="inlineStr">
        <is>
          <t>L</t>
        </is>
      </c>
      <c r="L53" s="41" t="n"/>
      <c r="M53" s="30">
        <f>IF($J53="","",SUMIFS(機種販売入力!$H$4:$H$503,機種販売入力!$C$4:$C$503,$J53,機種販売入力!$B$4:$B$503,"YM"))</f>
        <v/>
      </c>
      <c r="N53" s="30">
        <f>IF($J53="","",N($L53)*M53)</f>
        <v/>
      </c>
      <c r="O53" s="57" t="n"/>
    </row>
    <row r="54">
      <c r="A54" s="41" t="inlineStr">
        <is>
          <t>iPhone</t>
        </is>
      </c>
      <c r="B54" s="40" t="inlineStr">
        <is>
          <t>iPhone 15 Plus(512GB)</t>
        </is>
      </c>
      <c r="C54" s="41" t="inlineStr">
        <is>
          <t>M</t>
        </is>
      </c>
      <c r="D54" s="41" t="n"/>
      <c r="E54" s="30">
        <f>IF($B54="","",SUMIFS(機種販売入力!$H$4:$H$503,機種販売入力!$C$4:$C$503,$B54,機種販売入力!$B$4:$B$503,"&lt;&gt;YM"))</f>
        <v/>
      </c>
      <c r="F54" s="30">
        <f>IF($B54="","",N($D54)*E54)</f>
        <v/>
      </c>
      <c r="G54" s="57" t="n"/>
      <c r="I54" s="41" t="n"/>
      <c r="J54" s="40" t="n"/>
      <c r="K54" s="41" t="n"/>
      <c r="L54" s="41" t="n"/>
      <c r="M54" s="30">
        <f>IF($J54="","",SUMIFS(機種販売入力!$H$4:$H$503,機種販売入力!$C$4:$C$503,$J54,機種販売入力!$B$4:$B$503,"YM"))</f>
        <v/>
      </c>
      <c r="N54" s="30">
        <f>IF($J54="","",N($L54)*M54)</f>
        <v/>
      </c>
      <c r="O54" s="57" t="n"/>
    </row>
    <row r="55">
      <c r="A55" s="41" t="inlineStr">
        <is>
          <t>iPhone</t>
        </is>
      </c>
      <c r="B55" s="40" t="inlineStr">
        <is>
          <t>iPhone 14(128GB)</t>
        </is>
      </c>
      <c r="C55" s="41" t="inlineStr">
        <is>
          <t>M</t>
        </is>
      </c>
      <c r="D55" s="41" t="n"/>
      <c r="E55" s="30">
        <f>IF($B55="","",SUMIFS(機種販売入力!$H$4:$H$503,機種販売入力!$C$4:$C$503,$B55,機種販売入力!$B$4:$B$503,"&lt;&gt;YM"))</f>
        <v/>
      </c>
      <c r="F55" s="30">
        <f>IF($B55="","",N($D55)*E55)</f>
        <v/>
      </c>
      <c r="G55" s="57" t="n"/>
      <c r="I55" s="41" t="n"/>
      <c r="J55" s="40" t="n"/>
      <c r="K55" s="41" t="n"/>
      <c r="L55" s="41" t="n"/>
      <c r="M55" s="30">
        <f>IF($J55="","",SUMIFS(機種販売入力!$H$4:$H$503,機種販売入力!$C$4:$C$503,$J55,機種販売入力!$B$4:$B$503,"YM"))</f>
        <v/>
      </c>
      <c r="N55" s="30">
        <f>IF($J55="","",N($L55)*M55)</f>
        <v/>
      </c>
      <c r="O55" s="57" t="n"/>
    </row>
    <row r="56">
      <c r="A56" s="41" t="inlineStr">
        <is>
          <t>iPhone</t>
        </is>
      </c>
      <c r="B56" s="40" t="inlineStr">
        <is>
          <t>iPhone 14(256GB)</t>
        </is>
      </c>
      <c r="C56" s="41" t="inlineStr">
        <is>
          <t>M</t>
        </is>
      </c>
      <c r="D56" s="41" t="n"/>
      <c r="E56" s="30">
        <f>IF($B56="","",SUMIFS(機種販売入力!$H$4:$H$503,機種販売入力!$C$4:$C$503,$B56,機種販売入力!$B$4:$B$503,"&lt;&gt;YM"))</f>
        <v/>
      </c>
      <c r="F56" s="30">
        <f>IF($B56="","",N($D56)*E56)</f>
        <v/>
      </c>
      <c r="G56" s="57" t="n"/>
      <c r="I56" s="41" t="n"/>
      <c r="J56" s="40" t="n"/>
      <c r="K56" s="41" t="n"/>
      <c r="L56" s="41" t="n"/>
      <c r="M56" s="30">
        <f>IF($J56="","",SUMIFS(機種販売入力!$H$4:$H$503,機種販売入力!$C$4:$C$503,$J56,機種販売入力!$B$4:$B$503,"YM"))</f>
        <v/>
      </c>
      <c r="N56" s="30">
        <f>IF($J56="","",N($L56)*M56)</f>
        <v/>
      </c>
      <c r="O56" s="57" t="n"/>
    </row>
    <row r="57">
      <c r="A57" s="41" t="inlineStr">
        <is>
          <t>iPhone</t>
        </is>
      </c>
      <c r="B57" s="40" t="inlineStr">
        <is>
          <t>iPhone 14(512GB)</t>
        </is>
      </c>
      <c r="C57" s="41" t="inlineStr">
        <is>
          <t>M</t>
        </is>
      </c>
      <c r="D57" s="41" t="n"/>
      <c r="E57" s="30">
        <f>IF($B57="","",SUMIFS(機種販売入力!$H$4:$H$503,機種販売入力!$C$4:$C$503,$B57,機種販売入力!$B$4:$B$503,"&lt;&gt;YM"))</f>
        <v/>
      </c>
      <c r="F57" s="30">
        <f>IF($B57="","",N($D57)*E57)</f>
        <v/>
      </c>
      <c r="G57" s="57" t="n"/>
      <c r="I57" s="41" t="n"/>
      <c r="J57" s="40" t="n"/>
      <c r="K57" s="41" t="n"/>
      <c r="L57" s="41" t="n"/>
      <c r="M57" s="30">
        <f>IF($J57="","",SUMIFS(機種販売入力!$H$4:$H$503,機種販売入力!$C$4:$C$503,$J57,機種販売入力!$B$4:$B$503,"YM"))</f>
        <v/>
      </c>
      <c r="N57" s="30">
        <f>IF($J57="","",N($L57)*M57)</f>
        <v/>
      </c>
      <c r="O57" s="57" t="n"/>
    </row>
    <row r="58">
      <c r="A58" s="41" t="inlineStr">
        <is>
          <t>iPhone</t>
        </is>
      </c>
      <c r="B58" s="40" t="inlineStr">
        <is>
          <t>iPhone SE(第3世代)(64GB)</t>
        </is>
      </c>
      <c r="C58" s="41" t="inlineStr">
        <is>
          <t>M</t>
        </is>
      </c>
      <c r="D58" s="41" t="n"/>
      <c r="E58" s="30">
        <f>IF($B58="","",SUMIFS(機種販売入力!$H$4:$H$503,機種販売入力!$C$4:$C$503,$B58,機種販売入力!$B$4:$B$503,"&lt;&gt;YM"))</f>
        <v/>
      </c>
      <c r="F58" s="30">
        <f>IF($B58="","",N($D58)*E58)</f>
        <v/>
      </c>
      <c r="G58" s="57" t="n"/>
      <c r="I58" s="41" t="n"/>
      <c r="J58" s="40" t="n"/>
      <c r="K58" s="41" t="n"/>
      <c r="L58" s="41" t="n"/>
      <c r="M58" s="30">
        <f>IF($J58="","",SUMIFS(機種販売入力!$H$4:$H$503,機種販売入力!$C$4:$C$503,$J58,機種販売入力!$B$4:$B$503,"YM"))</f>
        <v/>
      </c>
      <c r="N58" s="30">
        <f>IF($J58="","",N($L58)*M58)</f>
        <v/>
      </c>
      <c r="O58" s="57" t="n"/>
    </row>
    <row r="59">
      <c r="A59" s="41" t="inlineStr">
        <is>
          <t>iPhone</t>
        </is>
      </c>
      <c r="B59" s="40" t="inlineStr">
        <is>
          <t>iPhone SE(第3世代)(128GB)</t>
        </is>
      </c>
      <c r="C59" s="41" t="inlineStr">
        <is>
          <t>M</t>
        </is>
      </c>
      <c r="D59" s="41" t="n"/>
      <c r="E59" s="30">
        <f>IF($B59="","",SUMIFS(機種販売入力!$H$4:$H$503,機種販売入力!$C$4:$C$503,$B59,機種販売入力!$B$4:$B$503,"&lt;&gt;YM"))</f>
        <v/>
      </c>
      <c r="F59" s="30">
        <f>IF($B59="","",N($D59)*E59)</f>
        <v/>
      </c>
      <c r="G59" s="57" t="n"/>
      <c r="I59" s="41" t="n"/>
      <c r="J59" s="40" t="n"/>
      <c r="K59" s="41" t="n"/>
      <c r="L59" s="41" t="n"/>
      <c r="M59" s="30">
        <f>IF($J59="","",SUMIFS(機種販売入力!$H$4:$H$503,機種販売入力!$C$4:$C$503,$J59,機種販売入力!$B$4:$B$503,"YM"))</f>
        <v/>
      </c>
      <c r="N59" s="30">
        <f>IF($J59="","",N($L59)*M59)</f>
        <v/>
      </c>
      <c r="O59" s="57" t="n"/>
    </row>
    <row r="60">
      <c r="A60" s="41" t="inlineStr">
        <is>
          <t>iPhone</t>
        </is>
      </c>
      <c r="B60" s="40" t="inlineStr">
        <is>
          <t>iPhone SE(第3世代)(256GB)</t>
        </is>
      </c>
      <c r="C60" s="41" t="inlineStr">
        <is>
          <t>M</t>
        </is>
      </c>
      <c r="D60" s="41" t="n"/>
      <c r="E60" s="30">
        <f>IF($B60="","",SUMIFS(機種販売入力!$H$4:$H$503,機種販売入力!$C$4:$C$503,$B60,機種販売入力!$B$4:$B$503,"&lt;&gt;YM"))</f>
        <v/>
      </c>
      <c r="F60" s="30">
        <f>IF($B60="","",N($D60)*E60)</f>
        <v/>
      </c>
      <c r="G60" s="57" t="n"/>
      <c r="I60" s="41" t="n"/>
      <c r="J60" s="40" t="n"/>
      <c r="K60" s="41" t="n"/>
      <c r="L60" s="41" t="n"/>
      <c r="M60" s="30">
        <f>IF($J60="","",SUMIFS(機種販売入力!$H$4:$H$503,機種販売入力!$C$4:$C$503,$J60,機種販売入力!$B$4:$B$503,"YM"))</f>
        <v/>
      </c>
      <c r="N60" s="30">
        <f>IF($J60="","",N($L60)*M60)</f>
        <v/>
      </c>
      <c r="O60" s="57" t="n"/>
    </row>
    <row r="61">
      <c r="A61" s="41" t="inlineStr">
        <is>
          <t>iPhone</t>
        </is>
      </c>
      <c r="B61" s="40" t="inlineStr">
        <is>
          <t>iPhone 13(128GB)</t>
        </is>
      </c>
      <c r="C61" s="41" t="inlineStr">
        <is>
          <t>M</t>
        </is>
      </c>
      <c r="D61" s="41" t="n"/>
      <c r="E61" s="30">
        <f>IF($B61="","",SUMIFS(機種販売入力!$H$4:$H$503,機種販売入力!$C$4:$C$503,$B61,機種販売入力!$B$4:$B$503,"&lt;&gt;YM"))</f>
        <v/>
      </c>
      <c r="F61" s="30">
        <f>IF($B61="","",N($D61)*E61)</f>
        <v/>
      </c>
      <c r="G61" s="57" t="n"/>
      <c r="I61" s="41" t="n"/>
      <c r="J61" s="40" t="n"/>
      <c r="K61" s="41" t="n"/>
      <c r="L61" s="41" t="n"/>
      <c r="M61" s="30">
        <f>IF($J61="","",SUMIFS(機種販売入力!$H$4:$H$503,機種販売入力!$C$4:$C$503,$J61,機種販売入力!$B$4:$B$503,"YM"))</f>
        <v/>
      </c>
      <c r="N61" s="30">
        <f>IF($J61="","",N($L61)*M61)</f>
        <v/>
      </c>
      <c r="O61" s="57" t="n"/>
    </row>
    <row r="62">
      <c r="A62" s="41" t="inlineStr">
        <is>
          <t>iPhone</t>
        </is>
      </c>
      <c r="B62" s="40" t="inlineStr">
        <is>
          <t>iPhone 13(256GB)</t>
        </is>
      </c>
      <c r="C62" s="41" t="inlineStr">
        <is>
          <t>M</t>
        </is>
      </c>
      <c r="D62" s="41" t="n"/>
      <c r="E62" s="30">
        <f>IF($B62="","",SUMIFS(機種販売入力!$H$4:$H$503,機種販売入力!$C$4:$C$503,$B62,機種販売入力!$B$4:$B$503,"&lt;&gt;YM"))</f>
        <v/>
      </c>
      <c r="F62" s="30">
        <f>IF($B62="","",N($D62)*E62)</f>
        <v/>
      </c>
      <c r="G62" s="57" t="n"/>
      <c r="I62" s="41" t="n"/>
      <c r="J62" s="40" t="n"/>
      <c r="K62" s="41" t="n"/>
      <c r="L62" s="41" t="n"/>
      <c r="M62" s="30">
        <f>IF($J62="","",SUMIFS(機種販売入力!$H$4:$H$503,機種販売入力!$C$4:$C$503,$J62,機種販売入力!$B$4:$B$503,"YM"))</f>
        <v/>
      </c>
      <c r="N62" s="30">
        <f>IF($J62="","",N($L62)*M62)</f>
        <v/>
      </c>
      <c r="O62" s="57" t="n"/>
    </row>
    <row r="63">
      <c r="A63" s="41" t="inlineStr">
        <is>
          <t>iPhone</t>
        </is>
      </c>
      <c r="B63" s="40" t="inlineStr">
        <is>
          <t>iPhone 13(512GB)</t>
        </is>
      </c>
      <c r="C63" s="41" t="inlineStr">
        <is>
          <t>M</t>
        </is>
      </c>
      <c r="D63" s="41" t="n"/>
      <c r="E63" s="30">
        <f>IF($B63="","",SUMIFS(機種販売入力!$H$4:$H$503,機種販売入力!$C$4:$C$503,$B63,機種販売入力!$B$4:$B$503,"&lt;&gt;YM"))</f>
        <v/>
      </c>
      <c r="F63" s="30">
        <f>IF($B63="","",N($D63)*E63)</f>
        <v/>
      </c>
      <c r="G63" s="57" t="n"/>
      <c r="I63" s="41" t="n"/>
      <c r="J63" s="40" t="n"/>
      <c r="K63" s="41" t="n"/>
      <c r="L63" s="41" t="n"/>
      <c r="M63" s="30">
        <f>IF($J63="","",SUMIFS(機種販売入力!$H$4:$H$503,機種販売入力!$C$4:$C$503,$J63,機種販売入力!$B$4:$B$503,"YM"))</f>
        <v/>
      </c>
      <c r="N63" s="30">
        <f>IF($J63="","",N($L63)*M63)</f>
        <v/>
      </c>
      <c r="O63" s="57" t="n"/>
    </row>
    <row r="64">
      <c r="A64" s="41" t="inlineStr">
        <is>
          <t>iPhone</t>
        </is>
      </c>
      <c r="B64" s="40" t="inlineStr">
        <is>
          <t>iPhone 13 Pro(128GB)</t>
        </is>
      </c>
      <c r="C64" s="41" t="inlineStr">
        <is>
          <t>M</t>
        </is>
      </c>
      <c r="D64" s="41" t="n"/>
      <c r="E64" s="30">
        <f>IF($B64="","",SUMIFS(機種販売入力!$H$4:$H$503,機種販売入力!$C$4:$C$503,$B64,機種販売入力!$B$4:$B$503,"&lt;&gt;YM"))</f>
        <v/>
      </c>
      <c r="F64" s="30">
        <f>IF($B64="","",N($D64)*E64)</f>
        <v/>
      </c>
      <c r="G64" s="57" t="n"/>
      <c r="I64" s="41" t="n"/>
      <c r="J64" s="40" t="n"/>
      <c r="K64" s="41" t="n"/>
      <c r="L64" s="41" t="n"/>
      <c r="M64" s="30">
        <f>IF($J64="","",SUMIFS(機種販売入力!$H$4:$H$503,機種販売入力!$C$4:$C$503,$J64,機種販売入力!$B$4:$B$503,"YM"))</f>
        <v/>
      </c>
      <c r="N64" s="30">
        <f>IF($J64="","",N($L64)*M64)</f>
        <v/>
      </c>
      <c r="O64" s="57" t="n"/>
    </row>
    <row r="65">
      <c r="A65" s="41" t="inlineStr">
        <is>
          <t>iPhone</t>
        </is>
      </c>
      <c r="B65" s="40" t="inlineStr">
        <is>
          <t>iPhone 13 Pro(256GB)</t>
        </is>
      </c>
      <c r="C65" s="41" t="inlineStr">
        <is>
          <t>M</t>
        </is>
      </c>
      <c r="D65" s="41" t="n"/>
      <c r="E65" s="30">
        <f>IF($B65="","",SUMIFS(機種販売入力!$H$4:$H$503,機種販売入力!$C$4:$C$503,$B65,機種販売入力!$B$4:$B$503,"&lt;&gt;YM"))</f>
        <v/>
      </c>
      <c r="F65" s="30">
        <f>IF($B65="","",N($D65)*E65)</f>
        <v/>
      </c>
      <c r="G65" s="57" t="n"/>
      <c r="I65" s="41" t="n"/>
      <c r="J65" s="40" t="n"/>
      <c r="K65" s="41" t="n"/>
      <c r="L65" s="41" t="n"/>
      <c r="M65" s="30">
        <f>IF($J65="","",SUMIFS(機種販売入力!$H$4:$H$503,機種販売入力!$C$4:$C$503,$J65,機種販売入力!$B$4:$B$503,"YM"))</f>
        <v/>
      </c>
      <c r="N65" s="30">
        <f>IF($J65="","",N($L65)*M65)</f>
        <v/>
      </c>
      <c r="O65" s="57" t="n"/>
    </row>
    <row r="66">
      <c r="A66" s="41" t="inlineStr">
        <is>
          <t>iPhone</t>
        </is>
      </c>
      <c r="B66" s="40" t="inlineStr">
        <is>
          <t>iPhone 13 Pro Max(128GB)</t>
        </is>
      </c>
      <c r="C66" s="41" t="inlineStr">
        <is>
          <t>M</t>
        </is>
      </c>
      <c r="D66" s="41" t="n"/>
      <c r="E66" s="30">
        <f>IF($B66="","",SUMIFS(機種販売入力!$H$4:$H$503,機種販売入力!$C$4:$C$503,$B66,機種販売入力!$B$4:$B$503,"&lt;&gt;YM"))</f>
        <v/>
      </c>
      <c r="F66" s="30">
        <f>IF($B66="","",N($D66)*E66)</f>
        <v/>
      </c>
      <c r="G66" s="57" t="n"/>
      <c r="I66" s="41" t="n"/>
      <c r="J66" s="40" t="n"/>
      <c r="K66" s="41" t="n"/>
      <c r="L66" s="41" t="n"/>
      <c r="M66" s="30">
        <f>IF($J66="","",SUMIFS(機種販売入力!$H$4:$H$503,機種販売入力!$C$4:$C$503,$J66,機種販売入力!$B$4:$B$503,"YM"))</f>
        <v/>
      </c>
      <c r="N66" s="30">
        <f>IF($J66="","",N($L66)*M66)</f>
        <v/>
      </c>
      <c r="O66" s="57" t="n"/>
    </row>
    <row r="67">
      <c r="A67" s="41" t="inlineStr">
        <is>
          <t>iPhone</t>
        </is>
      </c>
      <c r="B67" s="40" t="inlineStr">
        <is>
          <t>iPhone 13 Pro Max(256GB)</t>
        </is>
      </c>
      <c r="C67" s="41" t="inlineStr">
        <is>
          <t>M</t>
        </is>
      </c>
      <c r="D67" s="41" t="n"/>
      <c r="E67" s="30">
        <f>IF($B67="","",SUMIFS(機種販売入力!$H$4:$H$503,機種販売入力!$C$4:$C$503,$B67,機種販売入力!$B$4:$B$503,"&lt;&gt;YM"))</f>
        <v/>
      </c>
      <c r="F67" s="30">
        <f>IF($B67="","",N($D67)*E67)</f>
        <v/>
      </c>
      <c r="G67" s="57" t="n"/>
      <c r="I67" s="41" t="n"/>
      <c r="J67" s="40" t="n"/>
      <c r="K67" s="41" t="n"/>
      <c r="L67" s="41" t="n"/>
      <c r="M67" s="30">
        <f>IF($J67="","",SUMIFS(機種販売入力!$H$4:$H$503,機種販売入力!$C$4:$C$503,$J67,機種販売入力!$B$4:$B$503,"YM"))</f>
        <v/>
      </c>
      <c r="N67" s="30">
        <f>IF($J67="","",N($L67)*M67)</f>
        <v/>
      </c>
      <c r="O67" s="57" t="n"/>
    </row>
    <row r="68">
      <c r="A68" s="41" t="inlineStr">
        <is>
          <t>iPhone</t>
        </is>
      </c>
      <c r="B68" s="40" t="inlineStr">
        <is>
          <t>iPhone 13 mini(128GB)</t>
        </is>
      </c>
      <c r="C68" s="41" t="inlineStr">
        <is>
          <t>M</t>
        </is>
      </c>
      <c r="D68" s="41" t="n"/>
      <c r="E68" s="30">
        <f>IF($B68="","",SUMIFS(機種販売入力!$H$4:$H$503,機種販売入力!$C$4:$C$503,$B68,機種販売入力!$B$4:$B$503,"&lt;&gt;YM"))</f>
        <v/>
      </c>
      <c r="F68" s="30">
        <f>IF($B68="","",N($D68)*E68)</f>
        <v/>
      </c>
      <c r="G68" s="57" t="n"/>
      <c r="I68" s="41" t="n"/>
      <c r="J68" s="40" t="n"/>
      <c r="K68" s="41" t="n"/>
      <c r="L68" s="41" t="n"/>
      <c r="M68" s="30">
        <f>IF($J68="","",SUMIFS(機種販売入力!$H$4:$H$503,機種販売入力!$C$4:$C$503,$J68,機種販売入力!$B$4:$B$503,"YM"))</f>
        <v/>
      </c>
      <c r="N68" s="30">
        <f>IF($J68="","",N($L68)*M68)</f>
        <v/>
      </c>
      <c r="O68" s="57" t="n"/>
    </row>
    <row r="69">
      <c r="A69" s="41" t="inlineStr">
        <is>
          <t>iPhone</t>
        </is>
      </c>
      <c r="B69" s="40" t="inlineStr">
        <is>
          <t>iPhone 13 mini(256GB)</t>
        </is>
      </c>
      <c r="C69" s="41" t="inlineStr">
        <is>
          <t>M</t>
        </is>
      </c>
      <c r="D69" s="41" t="n"/>
      <c r="E69" s="30">
        <f>IF($B69="","",SUMIFS(機種販売入力!$H$4:$H$503,機種販売入力!$C$4:$C$503,$B69,機種販売入力!$B$4:$B$503,"&lt;&gt;YM"))</f>
        <v/>
      </c>
      <c r="F69" s="30">
        <f>IF($B69="","",N($D69)*E69)</f>
        <v/>
      </c>
      <c r="G69" s="57" t="n"/>
      <c r="I69" s="41" t="n"/>
      <c r="J69" s="40" t="n"/>
      <c r="K69" s="41" t="n"/>
      <c r="L69" s="41" t="n"/>
      <c r="M69" s="30">
        <f>IF($J69="","",SUMIFS(機種販売入力!$H$4:$H$503,機種販売入力!$C$4:$C$503,$J69,機種販売入力!$B$4:$B$503,"YM"))</f>
        <v/>
      </c>
      <c r="N69" s="30">
        <f>IF($J69="","",N($L69)*M69)</f>
        <v/>
      </c>
      <c r="O69" s="57" t="n"/>
    </row>
    <row r="70">
      <c r="A70" s="41" t="inlineStr">
        <is>
          <t>Pixel</t>
        </is>
      </c>
      <c r="B70" s="40" t="inlineStr">
        <is>
          <t>Google Pixel 11(256GB)</t>
        </is>
      </c>
      <c r="C70" s="41" t="inlineStr">
        <is>
          <t>H</t>
        </is>
      </c>
      <c r="D70" s="41" t="n">
        <v>4</v>
      </c>
      <c r="E70" s="30">
        <f>IF($B70="","",SUMIFS(機種販売入力!$H$4:$H$503,機種販売入力!$C$4:$C$503,$B70,機種販売入力!$B$4:$B$503,"&lt;&gt;YM"))</f>
        <v/>
      </c>
      <c r="F70" s="30">
        <f>IF($B70="","",N($D70)*E70)</f>
        <v/>
      </c>
      <c r="G70" s="57" t="n"/>
      <c r="I70" s="41" t="n"/>
      <c r="J70" s="40" t="n"/>
      <c r="K70" s="41" t="n"/>
      <c r="L70" s="41" t="n"/>
      <c r="M70" s="30">
        <f>IF($J70="","",SUMIFS(機種販売入力!$H$4:$H$503,機種販売入力!$C$4:$C$503,$J70,機種販売入力!$B$4:$B$503,"YM"))</f>
        <v/>
      </c>
      <c r="N70" s="30">
        <f>IF($J70="","",N($L70)*M70)</f>
        <v/>
      </c>
      <c r="O70" s="57" t="n"/>
    </row>
    <row r="71">
      <c r="A71" s="41" t="inlineStr">
        <is>
          <t>Pixel</t>
        </is>
      </c>
      <c r="B71" s="40" t="inlineStr">
        <is>
          <t>Google Pixel 11(512GB)</t>
        </is>
      </c>
      <c r="C71" s="41" t="inlineStr">
        <is>
          <t>H</t>
        </is>
      </c>
      <c r="D71" s="41" t="n">
        <v>4</v>
      </c>
      <c r="E71" s="30">
        <f>IF($B71="","",SUMIFS(機種販売入力!$H$4:$H$503,機種販売入力!$C$4:$C$503,$B71,機種販売入力!$B$4:$B$503,"&lt;&gt;YM"))</f>
        <v/>
      </c>
      <c r="F71" s="30">
        <f>IF($B71="","",N($D71)*E71)</f>
        <v/>
      </c>
      <c r="G71" s="57" t="n"/>
      <c r="I71" s="41" t="n"/>
      <c r="J71" s="40" t="n"/>
      <c r="K71" s="41" t="n"/>
      <c r="L71" s="41" t="n"/>
      <c r="M71" s="30">
        <f>IF($J71="","",SUMIFS(機種販売入力!$H$4:$H$503,機種販売入力!$C$4:$C$503,$J71,機種販売入力!$B$4:$B$503,"YM"))</f>
        <v/>
      </c>
      <c r="N71" s="30">
        <f>IF($J71="","",N($L71)*M71)</f>
        <v/>
      </c>
      <c r="O71" s="57" t="n"/>
    </row>
    <row r="72">
      <c r="A72" s="41" t="inlineStr">
        <is>
          <t>Pixel</t>
        </is>
      </c>
      <c r="B72" s="40" t="inlineStr">
        <is>
          <t>Google Pixel 11 Pro(256GB)</t>
        </is>
      </c>
      <c r="C72" s="41" t="inlineStr">
        <is>
          <t>H</t>
        </is>
      </c>
      <c r="D72" s="41" t="n">
        <v>4</v>
      </c>
      <c r="E72" s="30">
        <f>IF($B72="","",SUMIFS(機種販売入力!$H$4:$H$503,機種販売入力!$C$4:$C$503,$B72,機種販売入力!$B$4:$B$503,"&lt;&gt;YM"))</f>
        <v/>
      </c>
      <c r="F72" s="30">
        <f>IF($B72="","",N($D72)*E72)</f>
        <v/>
      </c>
      <c r="G72" s="57" t="n"/>
      <c r="I72" s="41" t="n"/>
      <c r="J72" s="40" t="n"/>
      <c r="K72" s="41" t="n"/>
      <c r="L72" s="41" t="n"/>
      <c r="M72" s="30">
        <f>IF($J72="","",SUMIFS(機種販売入力!$H$4:$H$503,機種販売入力!$C$4:$C$503,$J72,機種販売入力!$B$4:$B$503,"YM"))</f>
        <v/>
      </c>
      <c r="N72" s="30">
        <f>IF($J72="","",N($L72)*M72)</f>
        <v/>
      </c>
      <c r="O72" s="57" t="n"/>
    </row>
    <row r="73">
      <c r="A73" s="41" t="inlineStr">
        <is>
          <t>Pixel</t>
        </is>
      </c>
      <c r="B73" s="40" t="inlineStr">
        <is>
          <t>Google Pixel 11 Pro(512GB)</t>
        </is>
      </c>
      <c r="C73" s="41" t="inlineStr">
        <is>
          <t>H</t>
        </is>
      </c>
      <c r="D73" s="41" t="n">
        <v>4</v>
      </c>
      <c r="E73" s="30">
        <f>IF($B73="","",SUMIFS(機種販売入力!$H$4:$H$503,機種販売入力!$C$4:$C$503,$B73,機種販売入力!$B$4:$B$503,"&lt;&gt;YM"))</f>
        <v/>
      </c>
      <c r="F73" s="30">
        <f>IF($B73="","",N($D73)*E73)</f>
        <v/>
      </c>
      <c r="G73" s="57" t="n"/>
      <c r="I73" s="41" t="n"/>
      <c r="J73" s="40" t="n"/>
      <c r="K73" s="41" t="n"/>
      <c r="L73" s="41" t="n"/>
      <c r="M73" s="30">
        <f>IF($J73="","",SUMIFS(機種販売入力!$H$4:$H$503,機種販売入力!$C$4:$C$503,$J73,機種販売入力!$B$4:$B$503,"YM"))</f>
        <v/>
      </c>
      <c r="N73" s="30">
        <f>IF($J73="","",N($L73)*M73)</f>
        <v/>
      </c>
      <c r="O73" s="57" t="n"/>
    </row>
    <row r="74">
      <c r="A74" s="41" t="inlineStr">
        <is>
          <t>Pixel</t>
        </is>
      </c>
      <c r="B74" s="40" t="inlineStr">
        <is>
          <t>Google Pixel 11 Pro XL(256GB)</t>
        </is>
      </c>
      <c r="C74" s="41" t="inlineStr">
        <is>
          <t>H</t>
        </is>
      </c>
      <c r="D74" s="41" t="n">
        <v>4</v>
      </c>
      <c r="E74" s="30">
        <f>IF($B74="","",SUMIFS(機種販売入力!$H$4:$H$503,機種販売入力!$C$4:$C$503,$B74,機種販売入力!$B$4:$B$503,"&lt;&gt;YM"))</f>
        <v/>
      </c>
      <c r="F74" s="30">
        <f>IF($B74="","",N($D74)*E74)</f>
        <v/>
      </c>
      <c r="G74" s="57" t="n"/>
      <c r="I74" s="41" t="n"/>
      <c r="J74" s="40" t="n"/>
      <c r="K74" s="41" t="n"/>
      <c r="L74" s="41" t="n"/>
      <c r="M74" s="30">
        <f>IF($J74="","",SUMIFS(機種販売入力!$H$4:$H$503,機種販売入力!$C$4:$C$503,$J74,機種販売入力!$B$4:$B$503,"YM"))</f>
        <v/>
      </c>
      <c r="N74" s="30">
        <f>IF($J74="","",N($L74)*M74)</f>
        <v/>
      </c>
      <c r="O74" s="57" t="n"/>
    </row>
    <row r="75">
      <c r="A75" s="41" t="inlineStr">
        <is>
          <t>Pixel</t>
        </is>
      </c>
      <c r="B75" s="40" t="inlineStr">
        <is>
          <t>Google Pixel 11 Pro XL(512GB)</t>
        </is>
      </c>
      <c r="C75" s="41" t="inlineStr">
        <is>
          <t>H</t>
        </is>
      </c>
      <c r="D75" s="41" t="n">
        <v>4</v>
      </c>
      <c r="E75" s="30">
        <f>IF($B75="","",SUMIFS(機種販売入力!$H$4:$H$503,機種販売入力!$C$4:$C$503,$B75,機種販売入力!$B$4:$B$503,"&lt;&gt;YM"))</f>
        <v/>
      </c>
      <c r="F75" s="30">
        <f>IF($B75="","",N($D75)*E75)</f>
        <v/>
      </c>
      <c r="G75" s="57" t="n"/>
      <c r="I75" s="41" t="n"/>
      <c r="J75" s="40" t="n"/>
      <c r="K75" s="41" t="n"/>
      <c r="L75" s="41" t="n"/>
      <c r="M75" s="30">
        <f>IF($J75="","",SUMIFS(機種販売入力!$H$4:$H$503,機種販売入力!$C$4:$C$503,$J75,機種販売入力!$B$4:$B$503,"YM"))</f>
        <v/>
      </c>
      <c r="N75" s="30">
        <f>IF($J75="","",N($L75)*M75)</f>
        <v/>
      </c>
      <c r="O75" s="57" t="n"/>
    </row>
    <row r="76">
      <c r="A76" s="41" t="inlineStr">
        <is>
          <t>Pixel</t>
        </is>
      </c>
      <c r="B76" s="40" t="inlineStr">
        <is>
          <t>Google Pixel 11 Pro Fold(256GB)</t>
        </is>
      </c>
      <c r="C76" s="41" t="inlineStr">
        <is>
          <t>H</t>
        </is>
      </c>
      <c r="D76" s="41" t="n">
        <v>4</v>
      </c>
      <c r="E76" s="30">
        <f>IF($B76="","",SUMIFS(機種販売入力!$H$4:$H$503,機種販売入力!$C$4:$C$503,$B76,機種販売入力!$B$4:$B$503,"&lt;&gt;YM"))</f>
        <v/>
      </c>
      <c r="F76" s="30">
        <f>IF($B76="","",N($D76)*E76)</f>
        <v/>
      </c>
      <c r="G76" s="57" t="n"/>
      <c r="I76" s="41" t="n"/>
      <c r="J76" s="40" t="n"/>
      <c r="K76" s="41" t="n"/>
      <c r="L76" s="41" t="n"/>
      <c r="M76" s="30">
        <f>IF($J76="","",SUMIFS(機種販売入力!$H$4:$H$503,機種販売入力!$C$4:$C$503,$J76,機種販売入力!$B$4:$B$503,"YM"))</f>
        <v/>
      </c>
      <c r="N76" s="30">
        <f>IF($J76="","",N($L76)*M76)</f>
        <v/>
      </c>
      <c r="O76" s="57" t="n"/>
    </row>
    <row r="77">
      <c r="A77" s="41" t="inlineStr">
        <is>
          <t>Pixel</t>
        </is>
      </c>
      <c r="B77" s="40" t="inlineStr">
        <is>
          <t>Google Pixel 11 Pro Fold(512GB)</t>
        </is>
      </c>
      <c r="C77" s="41" t="inlineStr">
        <is>
          <t>H</t>
        </is>
      </c>
      <c r="D77" s="41" t="n">
        <v>4</v>
      </c>
      <c r="E77" s="30">
        <f>IF($B77="","",SUMIFS(機種販売入力!$H$4:$H$503,機種販売入力!$C$4:$C$503,$B77,機種販売入力!$B$4:$B$503,"&lt;&gt;YM"))</f>
        <v/>
      </c>
      <c r="F77" s="30">
        <f>IF($B77="","",N($D77)*E77)</f>
        <v/>
      </c>
      <c r="G77" s="57" t="n"/>
      <c r="I77" s="41" t="n"/>
      <c r="J77" s="40" t="n"/>
      <c r="K77" s="41" t="n"/>
      <c r="L77" s="41" t="n"/>
      <c r="M77" s="30">
        <f>IF($J77="","",SUMIFS(機種販売入力!$H$4:$H$503,機種販売入力!$C$4:$C$503,$J77,機種販売入力!$B$4:$B$503,"YM"))</f>
        <v/>
      </c>
      <c r="N77" s="30">
        <f>IF($J77="","",N($L77)*M77)</f>
        <v/>
      </c>
      <c r="O77" s="57" t="n"/>
    </row>
    <row r="78">
      <c r="A78" s="41" t="inlineStr">
        <is>
          <t>Pixel</t>
        </is>
      </c>
      <c r="B78" s="40" t="inlineStr">
        <is>
          <t>Google Pixel 10_128GB</t>
        </is>
      </c>
      <c r="C78" s="41" t="inlineStr">
        <is>
          <t>H</t>
        </is>
      </c>
      <c r="D78" s="41" t="n">
        <v>4</v>
      </c>
      <c r="E78" s="30">
        <f>IF($B78="","",SUMIFS(機種販売入力!$H$4:$H$503,機種販売入力!$C$4:$C$503,$B78,機種販売入力!$B$4:$B$503,"&lt;&gt;YM"))</f>
        <v/>
      </c>
      <c r="F78" s="30">
        <f>IF($B78="","",N($D78)*E78)</f>
        <v/>
      </c>
      <c r="G78" s="57" t="n"/>
      <c r="I78" s="41" t="n"/>
      <c r="J78" s="40" t="n"/>
      <c r="K78" s="41" t="n"/>
      <c r="L78" s="41" t="n"/>
      <c r="M78" s="30">
        <f>IF($J78="","",SUMIFS(機種販売入力!$H$4:$H$503,機種販売入力!$C$4:$C$503,$J78,機種販売入力!$B$4:$B$503,"YM"))</f>
        <v/>
      </c>
      <c r="N78" s="30">
        <f>IF($J78="","",N($L78)*M78)</f>
        <v/>
      </c>
      <c r="O78" s="57" t="n"/>
    </row>
    <row r="79">
      <c r="A79" s="41" t="inlineStr">
        <is>
          <t>Pixel</t>
        </is>
      </c>
      <c r="B79" s="40" t="inlineStr">
        <is>
          <t>Google Pixel 10_256GB</t>
        </is>
      </c>
      <c r="C79" s="41" t="inlineStr">
        <is>
          <t>H</t>
        </is>
      </c>
      <c r="D79" s="41" t="n">
        <v>4</v>
      </c>
      <c r="E79" s="30">
        <f>IF($B79="","",SUMIFS(機種販売入力!$H$4:$H$503,機種販売入力!$C$4:$C$503,$B79,機種販売入力!$B$4:$B$503,"&lt;&gt;YM"))</f>
        <v/>
      </c>
      <c r="F79" s="30">
        <f>IF($B79="","",N($D79)*E79)</f>
        <v/>
      </c>
      <c r="G79" s="57" t="n"/>
      <c r="I79" s="41" t="n"/>
      <c r="J79" s="40" t="n"/>
      <c r="K79" s="41" t="n"/>
      <c r="L79" s="41" t="n"/>
      <c r="M79" s="30">
        <f>IF($J79="","",SUMIFS(機種販売入力!$H$4:$H$503,機種販売入力!$C$4:$C$503,$J79,機種販売入力!$B$4:$B$503,"YM"))</f>
        <v/>
      </c>
      <c r="N79" s="30">
        <f>IF($J79="","",N($L79)*M79)</f>
        <v/>
      </c>
      <c r="O79" s="57" t="n"/>
    </row>
    <row r="80">
      <c r="A80" s="41" t="inlineStr">
        <is>
          <t>Pixel</t>
        </is>
      </c>
      <c r="B80" s="40" t="inlineStr">
        <is>
          <t>Google Pixel 10 Pro_256GB</t>
        </is>
      </c>
      <c r="C80" s="41" t="inlineStr">
        <is>
          <t>H</t>
        </is>
      </c>
      <c r="D80" s="41" t="n">
        <v>4</v>
      </c>
      <c r="E80" s="30">
        <f>IF($B80="","",SUMIFS(機種販売入力!$H$4:$H$503,機種販売入力!$C$4:$C$503,$B80,機種販売入力!$B$4:$B$503,"&lt;&gt;YM"))</f>
        <v/>
      </c>
      <c r="F80" s="30">
        <f>IF($B80="","",N($D80)*E80)</f>
        <v/>
      </c>
      <c r="G80" s="57" t="n"/>
      <c r="I80" s="41" t="n"/>
      <c r="J80" s="40" t="n"/>
      <c r="K80" s="41" t="n"/>
      <c r="L80" s="41" t="n"/>
      <c r="M80" s="30">
        <f>IF($J80="","",SUMIFS(機種販売入力!$H$4:$H$503,機種販売入力!$C$4:$C$503,$J80,機種販売入力!$B$4:$B$503,"YM"))</f>
        <v/>
      </c>
      <c r="N80" s="30">
        <f>IF($J80="","",N($L80)*M80)</f>
        <v/>
      </c>
      <c r="O80" s="57" t="n"/>
    </row>
    <row r="81">
      <c r="A81" s="41" t="inlineStr">
        <is>
          <t>Pixel</t>
        </is>
      </c>
      <c r="B81" s="40" t="inlineStr">
        <is>
          <t>Google Pixel 10 Pro_512GB</t>
        </is>
      </c>
      <c r="C81" s="41" t="inlineStr">
        <is>
          <t>H</t>
        </is>
      </c>
      <c r="D81" s="41" t="n">
        <v>4</v>
      </c>
      <c r="E81" s="30">
        <f>IF($B81="","",SUMIFS(機種販売入力!$H$4:$H$503,機種販売入力!$C$4:$C$503,$B81,機種販売入力!$B$4:$B$503,"&lt;&gt;YM"))</f>
        <v/>
      </c>
      <c r="F81" s="30">
        <f>IF($B81="","",N($D81)*E81)</f>
        <v/>
      </c>
      <c r="G81" s="57" t="n"/>
      <c r="I81" s="41" t="n"/>
      <c r="J81" s="40" t="n"/>
      <c r="K81" s="41" t="n"/>
      <c r="L81" s="41" t="n"/>
      <c r="M81" s="30">
        <f>IF($J81="","",SUMIFS(機種販売入力!$H$4:$H$503,機種販売入力!$C$4:$C$503,$J81,機種販売入力!$B$4:$B$503,"YM"))</f>
        <v/>
      </c>
      <c r="N81" s="30">
        <f>IF($J81="","",N($L81)*M81)</f>
        <v/>
      </c>
      <c r="O81" s="57" t="n"/>
    </row>
    <row r="82">
      <c r="A82" s="41" t="inlineStr">
        <is>
          <t>Pixel</t>
        </is>
      </c>
      <c r="B82" s="40" t="inlineStr">
        <is>
          <t>Google Pixel 10 Pro XL_256GB</t>
        </is>
      </c>
      <c r="C82" s="41" t="inlineStr">
        <is>
          <t>H</t>
        </is>
      </c>
      <c r="D82" s="41" t="n">
        <v>4</v>
      </c>
      <c r="E82" s="30">
        <f>IF($B82="","",SUMIFS(機種販売入力!$H$4:$H$503,機種販売入力!$C$4:$C$503,$B82,機種販売入力!$B$4:$B$503,"&lt;&gt;YM"))</f>
        <v/>
      </c>
      <c r="F82" s="30">
        <f>IF($B82="","",N($D82)*E82)</f>
        <v/>
      </c>
      <c r="G82" s="57" t="n"/>
      <c r="I82" s="41" t="n"/>
      <c r="J82" s="40" t="n"/>
      <c r="K82" s="41" t="n"/>
      <c r="L82" s="41" t="n"/>
      <c r="M82" s="30">
        <f>IF($J82="","",SUMIFS(機種販売入力!$H$4:$H$503,機種販売入力!$C$4:$C$503,$J82,機種販売入力!$B$4:$B$503,"YM"))</f>
        <v/>
      </c>
      <c r="N82" s="30">
        <f>IF($J82="","",N($L82)*M82)</f>
        <v/>
      </c>
      <c r="O82" s="57" t="n"/>
    </row>
    <row r="83">
      <c r="A83" s="41" t="inlineStr">
        <is>
          <t>Pixel</t>
        </is>
      </c>
      <c r="B83" s="40" t="inlineStr">
        <is>
          <t>Google Pixel 10 Pro XL_512GB</t>
        </is>
      </c>
      <c r="C83" s="41" t="inlineStr">
        <is>
          <t>H</t>
        </is>
      </c>
      <c r="D83" s="41" t="n">
        <v>4</v>
      </c>
      <c r="E83" s="30">
        <f>IF($B83="","",SUMIFS(機種販売入力!$H$4:$H$503,機種販売入力!$C$4:$C$503,$B83,機種販売入力!$B$4:$B$503,"&lt;&gt;YM"))</f>
        <v/>
      </c>
      <c r="F83" s="30">
        <f>IF($B83="","",N($D83)*E83)</f>
        <v/>
      </c>
      <c r="G83" s="57" t="n"/>
      <c r="I83" s="41" t="n"/>
      <c r="J83" s="40" t="n"/>
      <c r="K83" s="41" t="n"/>
      <c r="L83" s="41" t="n"/>
      <c r="M83" s="30">
        <f>IF($J83="","",SUMIFS(機種販売入力!$H$4:$H$503,機種販売入力!$C$4:$C$503,$J83,機種販売入力!$B$4:$B$503,"YM"))</f>
        <v/>
      </c>
      <c r="N83" s="30">
        <f>IF($J83="","",N($L83)*M83)</f>
        <v/>
      </c>
      <c r="O83" s="57" t="n"/>
    </row>
    <row r="84">
      <c r="A84" s="41" t="inlineStr">
        <is>
          <t>Pixel</t>
        </is>
      </c>
      <c r="B84" s="40" t="inlineStr">
        <is>
          <t>Google Pixel 10 Pro Fold_256GB</t>
        </is>
      </c>
      <c r="C84" s="41" t="inlineStr">
        <is>
          <t>H</t>
        </is>
      </c>
      <c r="D84" s="41" t="n">
        <v>4</v>
      </c>
      <c r="E84" s="30">
        <f>IF($B84="","",SUMIFS(機種販売入力!$H$4:$H$503,機種販売入力!$C$4:$C$503,$B84,機種販売入力!$B$4:$B$503,"&lt;&gt;YM"))</f>
        <v/>
      </c>
      <c r="F84" s="30">
        <f>IF($B84="","",N($D84)*E84)</f>
        <v/>
      </c>
      <c r="G84" s="57" t="n"/>
      <c r="I84" s="41" t="n"/>
      <c r="J84" s="40" t="n"/>
      <c r="K84" s="41" t="n"/>
      <c r="L84" s="41" t="n"/>
      <c r="M84" s="30">
        <f>IF($J84="","",SUMIFS(機種販売入力!$H$4:$H$503,機種販売入力!$C$4:$C$503,$J84,機種販売入力!$B$4:$B$503,"YM"))</f>
        <v/>
      </c>
      <c r="N84" s="30">
        <f>IF($J84="","",N($L84)*M84)</f>
        <v/>
      </c>
      <c r="O84" s="57" t="n"/>
    </row>
    <row r="85">
      <c r="A85" s="41" t="inlineStr">
        <is>
          <t>Pixel</t>
        </is>
      </c>
      <c r="B85" s="40" t="inlineStr">
        <is>
          <t>Google Pixel 10 Pro Fold_512GB</t>
        </is>
      </c>
      <c r="C85" s="41" t="inlineStr">
        <is>
          <t>H</t>
        </is>
      </c>
      <c r="D85" s="41" t="n">
        <v>4</v>
      </c>
      <c r="E85" s="30">
        <f>IF($B85="","",SUMIFS(機種販売入力!$H$4:$H$503,機種販売入力!$C$4:$C$503,$B85,機種販売入力!$B$4:$B$503,"&lt;&gt;YM"))</f>
        <v/>
      </c>
      <c r="F85" s="30">
        <f>IF($B85="","",N($D85)*E85)</f>
        <v/>
      </c>
      <c r="G85" s="57" t="n"/>
      <c r="I85" s="41" t="n"/>
      <c r="J85" s="40" t="n"/>
      <c r="K85" s="41" t="n"/>
      <c r="L85" s="41" t="n"/>
      <c r="M85" s="30">
        <f>IF($J85="","",SUMIFS(機種販売入力!$H$4:$H$503,機種販売入力!$C$4:$C$503,$J85,機種販売入力!$B$4:$B$503,"YM"))</f>
        <v/>
      </c>
      <c r="N85" s="30">
        <f>IF($J85="","",N($L85)*M85)</f>
        <v/>
      </c>
      <c r="O85" s="57" t="n"/>
    </row>
    <row r="86">
      <c r="A86" s="41" t="inlineStr">
        <is>
          <t>Pixel</t>
        </is>
      </c>
      <c r="B86" s="40" t="inlineStr">
        <is>
          <t>Google Pixel 9_128GB</t>
        </is>
      </c>
      <c r="C86" s="41" t="inlineStr">
        <is>
          <t>M</t>
        </is>
      </c>
      <c r="D86" s="41" t="n">
        <v>4</v>
      </c>
      <c r="E86" s="30">
        <f>IF($B86="","",SUMIFS(機種販売入力!$H$4:$H$503,機種販売入力!$C$4:$C$503,$B86,機種販売入力!$B$4:$B$503,"&lt;&gt;YM"))</f>
        <v/>
      </c>
      <c r="F86" s="30">
        <f>IF($B86="","",N($D86)*E86)</f>
        <v/>
      </c>
      <c r="G86" s="57" t="n"/>
      <c r="I86" s="41" t="n"/>
      <c r="J86" s="40" t="n"/>
      <c r="K86" s="41" t="n"/>
      <c r="L86" s="41" t="n"/>
      <c r="M86" s="30">
        <f>IF($J86="","",SUMIFS(機種販売入力!$H$4:$H$503,機種販売入力!$C$4:$C$503,$J86,機種販売入力!$B$4:$B$503,"YM"))</f>
        <v/>
      </c>
      <c r="N86" s="30">
        <f>IF($J86="","",N($L86)*M86)</f>
        <v/>
      </c>
      <c r="O86" s="57" t="n"/>
    </row>
    <row r="87">
      <c r="A87" s="41" t="inlineStr">
        <is>
          <t>Pixel</t>
        </is>
      </c>
      <c r="B87" s="40" t="inlineStr">
        <is>
          <t>Google Pixel 9_256GB</t>
        </is>
      </c>
      <c r="C87" s="41" t="inlineStr">
        <is>
          <t>M</t>
        </is>
      </c>
      <c r="D87" s="41" t="n">
        <v>4</v>
      </c>
      <c r="E87" s="30">
        <f>IF($B87="","",SUMIFS(機種販売入力!$H$4:$H$503,機種販売入力!$C$4:$C$503,$B87,機種販売入力!$B$4:$B$503,"&lt;&gt;YM"))</f>
        <v/>
      </c>
      <c r="F87" s="30">
        <f>IF($B87="","",N($D87)*E87)</f>
        <v/>
      </c>
      <c r="G87" s="57" t="n"/>
      <c r="I87" s="41" t="n"/>
      <c r="J87" s="40" t="n"/>
      <c r="K87" s="41" t="n"/>
      <c r="L87" s="41" t="n"/>
      <c r="M87" s="30">
        <f>IF($J87="","",SUMIFS(機種販売入力!$H$4:$H$503,機種販売入力!$C$4:$C$503,$J87,機種販売入力!$B$4:$B$503,"YM"))</f>
        <v/>
      </c>
      <c r="N87" s="30">
        <f>IF($J87="","",N($L87)*M87)</f>
        <v/>
      </c>
      <c r="O87" s="57" t="n"/>
    </row>
    <row r="88">
      <c r="A88" s="41" t="inlineStr">
        <is>
          <t>Pixel</t>
        </is>
      </c>
      <c r="B88" s="40" t="inlineStr">
        <is>
          <t>Google Pixel 9 Pro_128GB</t>
        </is>
      </c>
      <c r="C88" s="41" t="inlineStr">
        <is>
          <t>M</t>
        </is>
      </c>
      <c r="D88" s="41" t="n">
        <v>4</v>
      </c>
      <c r="E88" s="30">
        <f>IF($B88="","",SUMIFS(機種販売入力!$H$4:$H$503,機種販売入力!$C$4:$C$503,$B88,機種販売入力!$B$4:$B$503,"&lt;&gt;YM"))</f>
        <v/>
      </c>
      <c r="F88" s="30">
        <f>IF($B88="","",N($D88)*E88)</f>
        <v/>
      </c>
      <c r="G88" s="57" t="n"/>
      <c r="I88" s="41" t="n"/>
      <c r="J88" s="40" t="n"/>
      <c r="K88" s="41" t="n"/>
      <c r="L88" s="41" t="n"/>
      <c r="M88" s="30">
        <f>IF($J88="","",SUMIFS(機種販売入力!$H$4:$H$503,機種販売入力!$C$4:$C$503,$J88,機種販売入力!$B$4:$B$503,"YM"))</f>
        <v/>
      </c>
      <c r="N88" s="30">
        <f>IF($J88="","",N($L88)*M88)</f>
        <v/>
      </c>
      <c r="O88" s="57" t="n"/>
    </row>
    <row r="89">
      <c r="A89" s="41" t="inlineStr">
        <is>
          <t>Pixel</t>
        </is>
      </c>
      <c r="B89" s="40" t="inlineStr">
        <is>
          <t>Google Pixel 9 Pro_256GB</t>
        </is>
      </c>
      <c r="C89" s="41" t="inlineStr">
        <is>
          <t>M</t>
        </is>
      </c>
      <c r="D89" s="41" t="n">
        <v>4</v>
      </c>
      <c r="E89" s="30">
        <f>IF($B89="","",SUMIFS(機種販売入力!$H$4:$H$503,機種販売入力!$C$4:$C$503,$B89,機種販売入力!$B$4:$B$503,"&lt;&gt;YM"))</f>
        <v/>
      </c>
      <c r="F89" s="30">
        <f>IF($B89="","",N($D89)*E89)</f>
        <v/>
      </c>
      <c r="G89" s="57" t="n"/>
      <c r="I89" s="41" t="n"/>
      <c r="J89" s="40" t="n"/>
      <c r="K89" s="41" t="n"/>
      <c r="L89" s="41" t="n"/>
      <c r="M89" s="30">
        <f>IF($J89="","",SUMIFS(機種販売入力!$H$4:$H$503,機種販売入力!$C$4:$C$503,$J89,機種販売入力!$B$4:$B$503,"YM"))</f>
        <v/>
      </c>
      <c r="N89" s="30">
        <f>IF($J89="","",N($L89)*M89)</f>
        <v/>
      </c>
      <c r="O89" s="57" t="n"/>
    </row>
    <row r="90">
      <c r="A90" s="41" t="inlineStr">
        <is>
          <t>Pixel</t>
        </is>
      </c>
      <c r="B90" s="40" t="inlineStr">
        <is>
          <t>Google Pixel 9 Pro_512GB</t>
        </is>
      </c>
      <c r="C90" s="41" t="inlineStr">
        <is>
          <t>M</t>
        </is>
      </c>
      <c r="D90" s="41" t="n">
        <v>4</v>
      </c>
      <c r="E90" s="30">
        <f>IF($B90="","",SUMIFS(機種販売入力!$H$4:$H$503,機種販売入力!$C$4:$C$503,$B90,機種販売入力!$B$4:$B$503,"&lt;&gt;YM"))</f>
        <v/>
      </c>
      <c r="F90" s="30">
        <f>IF($B90="","",N($D90)*E90)</f>
        <v/>
      </c>
      <c r="G90" s="57" t="n"/>
      <c r="I90" s="41" t="n"/>
      <c r="J90" s="40" t="n"/>
      <c r="K90" s="41" t="n"/>
      <c r="L90" s="41" t="n"/>
      <c r="M90" s="30">
        <f>IF($J90="","",SUMIFS(機種販売入力!$H$4:$H$503,機種販売入力!$C$4:$C$503,$J90,機種販売入力!$B$4:$B$503,"YM"))</f>
        <v/>
      </c>
      <c r="N90" s="30">
        <f>IF($J90="","",N($L90)*M90)</f>
        <v/>
      </c>
      <c r="O90" s="57" t="n"/>
    </row>
    <row r="91">
      <c r="A91" s="41" t="inlineStr">
        <is>
          <t>Pixel</t>
        </is>
      </c>
      <c r="B91" s="40" t="inlineStr">
        <is>
          <t>Google Pixel 9 Pro XL_128GB</t>
        </is>
      </c>
      <c r="C91" s="41" t="inlineStr">
        <is>
          <t>M</t>
        </is>
      </c>
      <c r="D91" s="41" t="n">
        <v>4</v>
      </c>
      <c r="E91" s="30">
        <f>IF($B91="","",SUMIFS(機種販売入力!$H$4:$H$503,機種販売入力!$C$4:$C$503,$B91,機種販売入力!$B$4:$B$503,"&lt;&gt;YM"))</f>
        <v/>
      </c>
      <c r="F91" s="30">
        <f>IF($B91="","",N($D91)*E91)</f>
        <v/>
      </c>
      <c r="G91" s="57" t="n"/>
      <c r="I91" s="41" t="n"/>
      <c r="J91" s="40" t="n"/>
      <c r="K91" s="41" t="n"/>
      <c r="L91" s="41" t="n"/>
      <c r="M91" s="30">
        <f>IF($J91="","",SUMIFS(機種販売入力!$H$4:$H$503,機種販売入力!$C$4:$C$503,$J91,機種販売入力!$B$4:$B$503,"YM"))</f>
        <v/>
      </c>
      <c r="N91" s="30">
        <f>IF($J91="","",N($L91)*M91)</f>
        <v/>
      </c>
      <c r="O91" s="57" t="n"/>
    </row>
    <row r="92">
      <c r="A92" s="41" t="inlineStr">
        <is>
          <t>Pixel</t>
        </is>
      </c>
      <c r="B92" s="40" t="inlineStr">
        <is>
          <t>Google Pixel 9 Pro XL256GB</t>
        </is>
      </c>
      <c r="C92" s="41" t="inlineStr">
        <is>
          <t>M</t>
        </is>
      </c>
      <c r="D92" s="41" t="n">
        <v>4</v>
      </c>
      <c r="E92" s="30">
        <f>IF($B92="","",SUMIFS(機種販売入力!$H$4:$H$503,機種販売入力!$C$4:$C$503,$B92,機種販売入力!$B$4:$B$503,"&lt;&gt;YM"))</f>
        <v/>
      </c>
      <c r="F92" s="30">
        <f>IF($B92="","",N($D92)*E92)</f>
        <v/>
      </c>
      <c r="G92" s="57" t="n"/>
      <c r="I92" s="41" t="n"/>
      <c r="J92" s="40" t="n"/>
      <c r="K92" s="41" t="n"/>
      <c r="L92" s="41" t="n"/>
      <c r="M92" s="30">
        <f>IF($J92="","",SUMIFS(機種販売入力!$H$4:$H$503,機種販売入力!$C$4:$C$503,$J92,機種販売入力!$B$4:$B$503,"YM"))</f>
        <v/>
      </c>
      <c r="N92" s="30">
        <f>IF($J92="","",N($L92)*M92)</f>
        <v/>
      </c>
      <c r="O92" s="57" t="n"/>
    </row>
    <row r="93">
      <c r="A93" s="41" t="inlineStr">
        <is>
          <t>Pixel</t>
        </is>
      </c>
      <c r="B93" s="40" t="inlineStr">
        <is>
          <t>Google Pixel 9 Pro XL512GB</t>
        </is>
      </c>
      <c r="C93" s="41" t="inlineStr">
        <is>
          <t>M</t>
        </is>
      </c>
      <c r="D93" s="41" t="n">
        <v>4</v>
      </c>
      <c r="E93" s="30">
        <f>IF($B93="","",SUMIFS(機種販売入力!$H$4:$H$503,機種販売入力!$C$4:$C$503,$B93,機種販売入力!$B$4:$B$503,"&lt;&gt;YM"))</f>
        <v/>
      </c>
      <c r="F93" s="30">
        <f>IF($B93="","",N($D93)*E93)</f>
        <v/>
      </c>
      <c r="G93" s="57" t="n"/>
      <c r="I93" s="41" t="n"/>
      <c r="J93" s="40" t="n"/>
      <c r="K93" s="41" t="n"/>
      <c r="L93" s="41" t="n"/>
      <c r="M93" s="30">
        <f>IF($J93="","",SUMIFS(機種販売入力!$H$4:$H$503,機種販売入力!$C$4:$C$503,$J93,機種販売入力!$B$4:$B$503,"YM"))</f>
        <v/>
      </c>
      <c r="N93" s="30">
        <f>IF($J93="","",N($L93)*M93)</f>
        <v/>
      </c>
      <c r="O93" s="57" t="n"/>
    </row>
    <row r="94">
      <c r="A94" s="41" t="inlineStr">
        <is>
          <t>Pixel</t>
        </is>
      </c>
      <c r="B94" s="40" t="inlineStr">
        <is>
          <t>Google Pixel 9 Pro Fold_256GB</t>
        </is>
      </c>
      <c r="C94" s="41" t="inlineStr">
        <is>
          <t>M</t>
        </is>
      </c>
      <c r="D94" s="41" t="n">
        <v>4</v>
      </c>
      <c r="E94" s="30">
        <f>IF($B94="","",SUMIFS(機種販売入力!$H$4:$H$503,機種販売入力!$C$4:$C$503,$B94,機種販売入力!$B$4:$B$503,"&lt;&gt;YM"))</f>
        <v/>
      </c>
      <c r="F94" s="30">
        <f>IF($B94="","",N($D94)*E94)</f>
        <v/>
      </c>
      <c r="G94" s="57" t="n"/>
      <c r="I94" s="41" t="n"/>
      <c r="J94" s="40" t="n"/>
      <c r="K94" s="41" t="n"/>
      <c r="L94" s="41" t="n"/>
      <c r="M94" s="30">
        <f>IF($J94="","",SUMIFS(機種販売入力!$H$4:$H$503,機種販売入力!$C$4:$C$503,$J94,機種販売入力!$B$4:$B$503,"YM"))</f>
        <v/>
      </c>
      <c r="N94" s="30">
        <f>IF($J94="","",N($L94)*M94)</f>
        <v/>
      </c>
      <c r="O94" s="57" t="n"/>
    </row>
    <row r="95">
      <c r="A95" s="41" t="inlineStr">
        <is>
          <t>Pixel</t>
        </is>
      </c>
      <c r="B95" s="40" t="inlineStr">
        <is>
          <t>Google Pixel 9 Pro Fold_512GB</t>
        </is>
      </c>
      <c r="C95" s="41" t="inlineStr">
        <is>
          <t>M</t>
        </is>
      </c>
      <c r="D95" s="41" t="n">
        <v>4</v>
      </c>
      <c r="E95" s="30">
        <f>IF($B95="","",SUMIFS(機種販売入力!$H$4:$H$503,機種販売入力!$C$4:$C$503,$B95,機種販売入力!$B$4:$B$503,"&lt;&gt;YM"))</f>
        <v/>
      </c>
      <c r="F95" s="30">
        <f>IF($B95="","",N($D95)*E95)</f>
        <v/>
      </c>
      <c r="G95" s="57" t="n"/>
      <c r="I95" s="41" t="n"/>
      <c r="J95" s="40" t="n"/>
      <c r="K95" s="41" t="n"/>
      <c r="L95" s="41" t="n"/>
      <c r="M95" s="30">
        <f>IF($J95="","",SUMIFS(機種販売入力!$H$4:$H$503,機種販売入力!$C$4:$C$503,$J95,機種販売入力!$B$4:$B$503,"YM"))</f>
        <v/>
      </c>
      <c r="N95" s="30">
        <f>IF($J95="","",N($L95)*M95)</f>
        <v/>
      </c>
      <c r="O95" s="57" t="n"/>
    </row>
    <row r="96">
      <c r="A96" s="41" t="inlineStr">
        <is>
          <t>Pixel</t>
        </is>
      </c>
      <c r="B96" s="40" t="inlineStr">
        <is>
          <t>Google Pixel 10a(128GB)</t>
        </is>
      </c>
      <c r="C96" s="41" t="inlineStr">
        <is>
          <t>M</t>
        </is>
      </c>
      <c r="D96" s="41" t="n">
        <v>4</v>
      </c>
      <c r="E96" s="30">
        <f>IF($B96="","",SUMIFS(機種販売入力!$H$4:$H$503,機種販売入力!$C$4:$C$503,$B96,機種販売入力!$B$4:$B$503,"&lt;&gt;YM"))</f>
        <v/>
      </c>
      <c r="F96" s="30">
        <f>IF($B96="","",N($D96)*E96)</f>
        <v/>
      </c>
      <c r="G96" s="57" t="n"/>
      <c r="I96" s="41" t="n"/>
      <c r="J96" s="40" t="n"/>
      <c r="K96" s="41" t="n"/>
      <c r="L96" s="41" t="n"/>
      <c r="M96" s="30">
        <f>IF($J96="","",SUMIFS(機種販売入力!$H$4:$H$503,機種販売入力!$C$4:$C$503,$J96,機種販売入力!$B$4:$B$503,"YM"))</f>
        <v/>
      </c>
      <c r="N96" s="30">
        <f>IF($J96="","",N($L96)*M96)</f>
        <v/>
      </c>
      <c r="O96" s="57" t="n"/>
    </row>
    <row r="97">
      <c r="A97" s="41" t="inlineStr">
        <is>
          <t>Pixel</t>
        </is>
      </c>
      <c r="B97" s="40" t="inlineStr">
        <is>
          <t>Google Pixel 10a(256GB)</t>
        </is>
      </c>
      <c r="C97" s="41" t="inlineStr">
        <is>
          <t>M</t>
        </is>
      </c>
      <c r="D97" s="41" t="n">
        <v>4</v>
      </c>
      <c r="E97" s="30">
        <f>IF($B97="","",SUMIFS(機種販売入力!$H$4:$H$503,機種販売入力!$C$4:$C$503,$B97,機種販売入力!$B$4:$B$503,"&lt;&gt;YM"))</f>
        <v/>
      </c>
      <c r="F97" s="30">
        <f>IF($B97="","",N($D97)*E97)</f>
        <v/>
      </c>
      <c r="G97" s="57" t="n"/>
      <c r="I97" s="41" t="n"/>
      <c r="J97" s="40" t="n"/>
      <c r="K97" s="41" t="n"/>
      <c r="L97" s="41" t="n"/>
      <c r="M97" s="30">
        <f>IF($J97="","",SUMIFS(機種販売入力!$H$4:$H$503,機種販売入力!$C$4:$C$503,$J97,機種販売入力!$B$4:$B$503,"YM"))</f>
        <v/>
      </c>
      <c r="N97" s="30">
        <f>IF($J97="","",N($L97)*M97)</f>
        <v/>
      </c>
      <c r="O97" s="57" t="n"/>
    </row>
    <row r="98">
      <c r="A98" s="41" t="inlineStr">
        <is>
          <t>Pixel</t>
        </is>
      </c>
      <c r="B98" s="40" t="inlineStr">
        <is>
          <t>Google Pixel 9a(128GB)</t>
        </is>
      </c>
      <c r="C98" s="41" t="inlineStr">
        <is>
          <t>M</t>
        </is>
      </c>
      <c r="D98" s="41" t="n">
        <v>4</v>
      </c>
      <c r="E98" s="30">
        <f>IF($B98="","",SUMIFS(機種販売入力!$H$4:$H$503,機種販売入力!$C$4:$C$503,$B98,機種販売入力!$B$4:$B$503,"&lt;&gt;YM"))</f>
        <v/>
      </c>
      <c r="F98" s="30">
        <f>IF($B98="","",N($D98)*E98)</f>
        <v/>
      </c>
      <c r="G98" s="57" t="n"/>
      <c r="I98" s="41" t="n"/>
      <c r="J98" s="40" t="n"/>
      <c r="K98" s="41" t="n"/>
      <c r="L98" s="41" t="n"/>
      <c r="M98" s="30">
        <f>IF($J98="","",SUMIFS(機種販売入力!$H$4:$H$503,機種販売入力!$C$4:$C$503,$J98,機種販売入力!$B$4:$B$503,"YM"))</f>
        <v/>
      </c>
      <c r="N98" s="30">
        <f>IF($J98="","",N($L98)*M98)</f>
        <v/>
      </c>
      <c r="O98" s="57" t="n"/>
    </row>
    <row r="99">
      <c r="A99" s="41" t="inlineStr">
        <is>
          <t>Pixel</t>
        </is>
      </c>
      <c r="B99" s="40" t="inlineStr">
        <is>
          <t>Google Pixel 9a(256GB)</t>
        </is>
      </c>
      <c r="C99" s="41" t="inlineStr">
        <is>
          <t>M</t>
        </is>
      </c>
      <c r="D99" s="41" t="n">
        <v>4</v>
      </c>
      <c r="E99" s="30">
        <f>IF($B99="","",SUMIFS(機種販売入力!$H$4:$H$503,機種販売入力!$C$4:$C$503,$B99,機種販売入力!$B$4:$B$503,"&lt;&gt;YM"))</f>
        <v/>
      </c>
      <c r="F99" s="30">
        <f>IF($B99="","",N($D99)*E99)</f>
        <v/>
      </c>
      <c r="G99" s="57" t="n"/>
      <c r="I99" s="41" t="n"/>
      <c r="J99" s="40" t="n"/>
      <c r="K99" s="41" t="n"/>
      <c r="L99" s="41" t="n"/>
      <c r="M99" s="30">
        <f>IF($J99="","",SUMIFS(機種販売入力!$H$4:$H$503,機種販売入力!$C$4:$C$503,$J99,機種販売入力!$B$4:$B$503,"YM"))</f>
        <v/>
      </c>
      <c r="N99" s="30">
        <f>IF($J99="","",N($L99)*M99)</f>
        <v/>
      </c>
      <c r="O99" s="57" t="n"/>
    </row>
    <row r="100">
      <c r="A100" s="41" t="inlineStr">
        <is>
          <t>Pixel</t>
        </is>
      </c>
      <c r="B100" s="40" t="inlineStr">
        <is>
          <t>Google Pixel 8a</t>
        </is>
      </c>
      <c r="C100" s="41" t="inlineStr">
        <is>
          <t>M</t>
        </is>
      </c>
      <c r="D100" s="41" t="n">
        <v>4</v>
      </c>
      <c r="E100" s="30">
        <f>IF($B100="","",SUMIFS(機種販売入力!$H$4:$H$503,機種販売入力!$C$4:$C$503,$B100,機種販売入力!$B$4:$B$503,"&lt;&gt;YM"))</f>
        <v/>
      </c>
      <c r="F100" s="30">
        <f>IF($B100="","",N($D100)*E100)</f>
        <v/>
      </c>
      <c r="G100" s="57" t="n"/>
      <c r="I100" s="41" t="n"/>
      <c r="J100" s="40" t="n"/>
      <c r="K100" s="41" t="n"/>
      <c r="L100" s="41" t="n"/>
      <c r="M100" s="30">
        <f>IF($J100="","",SUMIFS(機種販売入力!$H$4:$H$503,機種販売入力!$C$4:$C$503,$J100,機種販売入力!$B$4:$B$503,"YM"))</f>
        <v/>
      </c>
      <c r="N100" s="30">
        <f>IF($J100="","",N($L100)*M100)</f>
        <v/>
      </c>
      <c r="O100" s="57" t="n"/>
    </row>
    <row r="101">
      <c r="A101" s="41" t="inlineStr">
        <is>
          <t>Pixel</t>
        </is>
      </c>
      <c r="B101" s="40" t="inlineStr">
        <is>
          <t>Google Pixel 7a</t>
        </is>
      </c>
      <c r="C101" s="41" t="inlineStr">
        <is>
          <t>M</t>
        </is>
      </c>
      <c r="D101" s="41" t="n">
        <v>4</v>
      </c>
      <c r="E101" s="30">
        <f>IF($B101="","",SUMIFS(機種販売入力!$H$4:$H$503,機種販売入力!$C$4:$C$503,$B101,機種販売入力!$B$4:$B$503,"&lt;&gt;YM"))</f>
        <v/>
      </c>
      <c r="F101" s="30">
        <f>IF($B101="","",N($D101)*E101)</f>
        <v/>
      </c>
      <c r="G101" s="57" t="n"/>
      <c r="I101" s="41" t="n"/>
      <c r="J101" s="40" t="n"/>
      <c r="K101" s="41" t="n"/>
      <c r="L101" s="41" t="n"/>
      <c r="M101" s="30">
        <f>IF($J101="","",SUMIFS(機種販売入力!$H$4:$H$503,機種販売入力!$C$4:$C$503,$J101,機種販売入力!$B$4:$B$503,"YM"))</f>
        <v/>
      </c>
      <c r="N101" s="30">
        <f>IF($J101="","",N($L101)*M101)</f>
        <v/>
      </c>
      <c r="O101" s="57" t="n"/>
    </row>
    <row r="102">
      <c r="A102" s="41" t="inlineStr">
        <is>
          <t>Pixel</t>
        </is>
      </c>
      <c r="B102" s="40" t="inlineStr">
        <is>
          <t>Google Pixel 8 Pro_128GB</t>
        </is>
      </c>
      <c r="C102" s="41" t="inlineStr">
        <is>
          <t>M</t>
        </is>
      </c>
      <c r="D102" s="41" t="n">
        <v>4</v>
      </c>
      <c r="E102" s="30">
        <f>IF($B102="","",SUMIFS(機種販売入力!$H$4:$H$503,機種販売入力!$C$4:$C$503,$B102,機種販売入力!$B$4:$B$503,"&lt;&gt;YM"))</f>
        <v/>
      </c>
      <c r="F102" s="30">
        <f>IF($B102="","",N($D102)*E102)</f>
        <v/>
      </c>
      <c r="G102" s="57" t="n"/>
      <c r="I102" s="41" t="n"/>
      <c r="J102" s="40" t="n"/>
      <c r="K102" s="41" t="n"/>
      <c r="L102" s="41" t="n"/>
      <c r="M102" s="30">
        <f>IF($J102="","",SUMIFS(機種販売入力!$H$4:$H$503,機種販売入力!$C$4:$C$503,$J102,機種販売入力!$B$4:$B$503,"YM"))</f>
        <v/>
      </c>
      <c r="N102" s="30">
        <f>IF($J102="","",N($L102)*M102)</f>
        <v/>
      </c>
      <c r="O102" s="57" t="n"/>
    </row>
    <row r="103">
      <c r="A103" s="41" t="inlineStr">
        <is>
          <t>Pixel</t>
        </is>
      </c>
      <c r="B103" s="40" t="inlineStr">
        <is>
          <t>Google Pixel 8 Pro_256GB</t>
        </is>
      </c>
      <c r="C103" s="41" t="inlineStr">
        <is>
          <t>M</t>
        </is>
      </c>
      <c r="D103" s="41" t="n">
        <v>4</v>
      </c>
      <c r="E103" s="30">
        <f>IF($B103="","",SUMIFS(機種販売入力!$H$4:$H$503,機種販売入力!$C$4:$C$503,$B103,機種販売入力!$B$4:$B$503,"&lt;&gt;YM"))</f>
        <v/>
      </c>
      <c r="F103" s="30">
        <f>IF($B103="","",N($D103)*E103)</f>
        <v/>
      </c>
      <c r="G103" s="57" t="n"/>
      <c r="I103" s="41" t="n"/>
      <c r="J103" s="40" t="n"/>
      <c r="K103" s="41" t="n"/>
      <c r="L103" s="41" t="n"/>
      <c r="M103" s="30">
        <f>IF($J103="","",SUMIFS(機種販売入力!$H$4:$H$503,機種販売入力!$C$4:$C$503,$J103,機種販売入力!$B$4:$B$503,"YM"))</f>
        <v/>
      </c>
      <c r="N103" s="30">
        <f>IF($J103="","",N($L103)*M103)</f>
        <v/>
      </c>
      <c r="O103" s="57" t="n"/>
    </row>
    <row r="104">
      <c r="A104" s="41" t="inlineStr">
        <is>
          <t>Pixel</t>
        </is>
      </c>
      <c r="B104" s="40" t="inlineStr">
        <is>
          <t>Google Pixel 8 Pro_512GB</t>
        </is>
      </c>
      <c r="C104" s="41" t="inlineStr">
        <is>
          <t>M</t>
        </is>
      </c>
      <c r="D104" s="41" t="n">
        <v>4</v>
      </c>
      <c r="E104" s="30">
        <f>IF($B104="","",SUMIFS(機種販売入力!$H$4:$H$503,機種販売入力!$C$4:$C$503,$B104,機種販売入力!$B$4:$B$503,"&lt;&gt;YM"))</f>
        <v/>
      </c>
      <c r="F104" s="30">
        <f>IF($B104="","",N($D104)*E104)</f>
        <v/>
      </c>
      <c r="G104" s="57" t="n"/>
      <c r="I104" s="41" t="n"/>
      <c r="J104" s="40" t="n"/>
      <c r="K104" s="41" t="n"/>
      <c r="L104" s="41" t="n"/>
      <c r="M104" s="30">
        <f>IF($J104="","",SUMIFS(機種販売入力!$H$4:$H$503,機種販売入力!$C$4:$C$503,$J104,機種販売入力!$B$4:$B$503,"YM"))</f>
        <v/>
      </c>
      <c r="N104" s="30">
        <f>IF($J104="","",N($L104)*M104)</f>
        <v/>
      </c>
      <c r="O104" s="57" t="n"/>
    </row>
    <row r="105">
      <c r="A105" s="41" t="inlineStr">
        <is>
          <t>Pixel</t>
        </is>
      </c>
      <c r="B105" s="40" t="inlineStr">
        <is>
          <t>Google Pixel 8_128GB</t>
        </is>
      </c>
      <c r="C105" s="41" t="inlineStr">
        <is>
          <t>M</t>
        </is>
      </c>
      <c r="D105" s="41" t="n">
        <v>4</v>
      </c>
      <c r="E105" s="30">
        <f>IF($B105="","",SUMIFS(機種販売入力!$H$4:$H$503,機種販売入力!$C$4:$C$503,$B105,機種販売入力!$B$4:$B$503,"&lt;&gt;YM"))</f>
        <v/>
      </c>
      <c r="F105" s="30">
        <f>IF($B105="","",N($D105)*E105)</f>
        <v/>
      </c>
      <c r="G105" s="57" t="n"/>
      <c r="I105" s="41" t="n"/>
      <c r="J105" s="40" t="n"/>
      <c r="K105" s="41" t="n"/>
      <c r="L105" s="41" t="n"/>
      <c r="M105" s="30">
        <f>IF($J105="","",SUMIFS(機種販売入力!$H$4:$H$503,機種販売入力!$C$4:$C$503,$J105,機種販売入力!$B$4:$B$503,"YM"))</f>
        <v/>
      </c>
      <c r="N105" s="30">
        <f>IF($J105="","",N($L105)*M105)</f>
        <v/>
      </c>
      <c r="O105" s="57" t="n"/>
    </row>
    <row r="106">
      <c r="A106" s="41" t="inlineStr">
        <is>
          <t>Pixel</t>
        </is>
      </c>
      <c r="B106" s="40" t="inlineStr">
        <is>
          <t>Google Pixel 8_256GB</t>
        </is>
      </c>
      <c r="C106" s="41" t="inlineStr">
        <is>
          <t>M</t>
        </is>
      </c>
      <c r="D106" s="41" t="n">
        <v>4</v>
      </c>
      <c r="E106" s="30">
        <f>IF($B106="","",SUMIFS(機種販売入力!$H$4:$H$503,機種販売入力!$C$4:$C$503,$B106,機種販売入力!$B$4:$B$503,"&lt;&gt;YM"))</f>
        <v/>
      </c>
      <c r="F106" s="30">
        <f>IF($B106="","",N($D106)*E106)</f>
        <v/>
      </c>
      <c r="G106" s="57" t="n"/>
      <c r="I106" s="41" t="n"/>
      <c r="J106" s="40" t="n"/>
      <c r="K106" s="41" t="n"/>
      <c r="L106" s="41" t="n"/>
      <c r="M106" s="30">
        <f>IF($J106="","",SUMIFS(機種販売入力!$H$4:$H$503,機種販売入力!$C$4:$C$503,$J106,機種販売入力!$B$4:$B$503,"YM"))</f>
        <v/>
      </c>
      <c r="N106" s="30">
        <f>IF($J106="","",N($L106)*M106)</f>
        <v/>
      </c>
      <c r="O106" s="57" t="n"/>
    </row>
    <row r="107">
      <c r="A107" s="41" t="inlineStr">
        <is>
          <t>Pixel</t>
        </is>
      </c>
      <c r="B107" s="40" t="inlineStr">
        <is>
          <t>Google Pixel 7(128GB)</t>
        </is>
      </c>
      <c r="C107" s="41" t="inlineStr">
        <is>
          <t>M</t>
        </is>
      </c>
      <c r="D107" s="41" t="n">
        <v>4</v>
      </c>
      <c r="E107" s="30">
        <f>IF($B107="","",SUMIFS(機種販売入力!$H$4:$H$503,機種販売入力!$C$4:$C$503,$B107,機種販売入力!$B$4:$B$503,"&lt;&gt;YM"))</f>
        <v/>
      </c>
      <c r="F107" s="30">
        <f>IF($B107="","",N($D107)*E107)</f>
        <v/>
      </c>
      <c r="G107" s="57" t="n"/>
      <c r="I107" s="41" t="n"/>
      <c r="J107" s="40" t="n"/>
      <c r="K107" s="41" t="n"/>
      <c r="L107" s="41" t="n"/>
      <c r="M107" s="30">
        <f>IF($J107="","",SUMIFS(機種販売入力!$H$4:$H$503,機種販売入力!$C$4:$C$503,$J107,機種販売入力!$B$4:$B$503,"YM"))</f>
        <v/>
      </c>
      <c r="N107" s="30">
        <f>IF($J107="","",N($L107)*M107)</f>
        <v/>
      </c>
      <c r="O107" s="57" t="n"/>
    </row>
    <row r="108">
      <c r="A108" s="41" t="inlineStr">
        <is>
          <t>Pixel</t>
        </is>
      </c>
      <c r="B108" s="40" t="inlineStr">
        <is>
          <t>Google Pixel 7(256GB)</t>
        </is>
      </c>
      <c r="C108" s="41" t="inlineStr">
        <is>
          <t>M</t>
        </is>
      </c>
      <c r="D108" s="41" t="n">
        <v>4</v>
      </c>
      <c r="E108" s="30">
        <f>IF($B108="","",SUMIFS(機種販売入力!$H$4:$H$503,機種販売入力!$C$4:$C$503,$B108,機種販売入力!$B$4:$B$503,"&lt;&gt;YM"))</f>
        <v/>
      </c>
      <c r="F108" s="30">
        <f>IF($B108="","",N($D108)*E108)</f>
        <v/>
      </c>
      <c r="G108" s="57" t="n"/>
      <c r="I108" s="41" t="n"/>
      <c r="J108" s="40" t="n"/>
      <c r="K108" s="41" t="n"/>
      <c r="L108" s="41" t="n"/>
      <c r="M108" s="30">
        <f>IF($J108="","",SUMIFS(機種販売入力!$H$4:$H$503,機種販売入力!$C$4:$C$503,$J108,機種販売入力!$B$4:$B$503,"YM"))</f>
        <v/>
      </c>
      <c r="N108" s="30">
        <f>IF($J108="","",N($L108)*M108)</f>
        <v/>
      </c>
      <c r="O108" s="57" t="n"/>
    </row>
    <row r="109">
      <c r="A109" s="41" t="inlineStr">
        <is>
          <t>Pixel</t>
        </is>
      </c>
      <c r="B109" s="40" t="inlineStr">
        <is>
          <t>Google Pixel 7 Pro(128GB)</t>
        </is>
      </c>
      <c r="C109" s="41" t="inlineStr">
        <is>
          <t>M</t>
        </is>
      </c>
      <c r="D109" s="41" t="n">
        <v>4</v>
      </c>
      <c r="E109" s="30">
        <f>IF($B109="","",SUMIFS(機種販売入力!$H$4:$H$503,機種販売入力!$C$4:$C$503,$B109,機種販売入力!$B$4:$B$503,"&lt;&gt;YM"))</f>
        <v/>
      </c>
      <c r="F109" s="30">
        <f>IF($B109="","",N($D109)*E109)</f>
        <v/>
      </c>
      <c r="G109" s="57" t="n"/>
      <c r="I109" s="41" t="n"/>
      <c r="J109" s="40" t="n"/>
      <c r="K109" s="41" t="n"/>
      <c r="L109" s="41" t="n"/>
      <c r="M109" s="30">
        <f>IF($J109="","",SUMIFS(機種販売入力!$H$4:$H$503,機種販売入力!$C$4:$C$503,$J109,機種販売入力!$B$4:$B$503,"YM"))</f>
        <v/>
      </c>
      <c r="N109" s="30">
        <f>IF($J109="","",N($L109)*M109)</f>
        <v/>
      </c>
      <c r="O109" s="57" t="n"/>
    </row>
    <row r="110">
      <c r="A110" s="41" t="inlineStr">
        <is>
          <t>Pixel</t>
        </is>
      </c>
      <c r="B110" s="40" t="inlineStr">
        <is>
          <t>Google Pixel 7 Pro(256GB)</t>
        </is>
      </c>
      <c r="C110" s="41" t="inlineStr">
        <is>
          <t>M</t>
        </is>
      </c>
      <c r="D110" s="41" t="n">
        <v>4</v>
      </c>
      <c r="E110" s="30">
        <f>IF($B110="","",SUMIFS(機種販売入力!$H$4:$H$503,機種販売入力!$C$4:$C$503,$B110,機種販売入力!$B$4:$B$503,"&lt;&gt;YM"))</f>
        <v/>
      </c>
      <c r="F110" s="30">
        <f>IF($B110="","",N($D110)*E110)</f>
        <v/>
      </c>
      <c r="G110" s="57" t="n"/>
      <c r="I110" s="41" t="n"/>
      <c r="J110" s="40" t="n"/>
      <c r="K110" s="41" t="n"/>
      <c r="L110" s="41" t="n"/>
      <c r="M110" s="30">
        <f>IF($J110="","",SUMIFS(機種販売入力!$H$4:$H$503,機種販売入力!$C$4:$C$503,$J110,機種販売入力!$B$4:$B$503,"YM"))</f>
        <v/>
      </c>
      <c r="N110" s="30">
        <f>IF($J110="","",N($L110)*M110)</f>
        <v/>
      </c>
      <c r="O110" s="57" t="n"/>
    </row>
    <row r="111">
      <c r="A111" s="41" t="inlineStr">
        <is>
          <t>Pixel</t>
        </is>
      </c>
      <c r="B111" s="40" t="inlineStr">
        <is>
          <t>Google Pixel 6(128GB)</t>
        </is>
      </c>
      <c r="C111" s="41" t="inlineStr">
        <is>
          <t>M</t>
        </is>
      </c>
      <c r="D111" s="41" t="n">
        <v>4</v>
      </c>
      <c r="E111" s="30">
        <f>IF($B111="","",SUMIFS(機種販売入力!$H$4:$H$503,機種販売入力!$C$4:$C$503,$B111,機種販売入力!$B$4:$B$503,"&lt;&gt;YM"))</f>
        <v/>
      </c>
      <c r="F111" s="30">
        <f>IF($B111="","",N($D111)*E111)</f>
        <v/>
      </c>
      <c r="G111" s="57" t="n"/>
      <c r="I111" s="41" t="n"/>
      <c r="J111" s="40" t="n"/>
      <c r="K111" s="41" t="n"/>
      <c r="L111" s="41" t="n"/>
      <c r="M111" s="30">
        <f>IF($J111="","",SUMIFS(機種販売入力!$H$4:$H$503,機種販売入力!$C$4:$C$503,$J111,機種販売入力!$B$4:$B$503,"YM"))</f>
        <v/>
      </c>
      <c r="N111" s="30">
        <f>IF($J111="","",N($L111)*M111)</f>
        <v/>
      </c>
      <c r="O111" s="57" t="n"/>
    </row>
    <row r="112">
      <c r="A112" s="41" t="inlineStr">
        <is>
          <t>Pixel</t>
        </is>
      </c>
      <c r="B112" s="40" t="inlineStr">
        <is>
          <t>Google Pixel 6(256GB)</t>
        </is>
      </c>
      <c r="C112" s="41" t="inlineStr">
        <is>
          <t>M</t>
        </is>
      </c>
      <c r="D112" s="41" t="n">
        <v>4</v>
      </c>
      <c r="E112" s="30">
        <f>IF($B112="","",SUMIFS(機種販売入力!$H$4:$H$503,機種販売入力!$C$4:$C$503,$B112,機種販売入力!$B$4:$B$503,"&lt;&gt;YM"))</f>
        <v/>
      </c>
      <c r="F112" s="30">
        <f>IF($B112="","",N($D112)*E112)</f>
        <v/>
      </c>
      <c r="G112" s="57" t="n"/>
      <c r="I112" s="41" t="n"/>
      <c r="J112" s="40" t="n"/>
      <c r="K112" s="41" t="n"/>
      <c r="L112" s="41" t="n"/>
      <c r="M112" s="30">
        <f>IF($J112="","",SUMIFS(機種販売入力!$H$4:$H$503,機種販売入力!$C$4:$C$503,$J112,機種販売入力!$B$4:$B$503,"YM"))</f>
        <v/>
      </c>
      <c r="N112" s="30">
        <f>IF($J112="","",N($L112)*M112)</f>
        <v/>
      </c>
      <c r="O112" s="57" t="n"/>
    </row>
    <row r="113">
      <c r="A113" s="41" t="inlineStr">
        <is>
          <t>Android</t>
        </is>
      </c>
      <c r="B113" s="40" t="inlineStr">
        <is>
          <t>Xperia 1 VIII</t>
        </is>
      </c>
      <c r="C113" s="41" t="inlineStr">
        <is>
          <t>H</t>
        </is>
      </c>
      <c r="D113" s="41" t="n">
        <v>2</v>
      </c>
      <c r="E113" s="30">
        <f>IF($B113="","",SUMIFS(機種販売入力!$H$4:$H$503,機種販売入力!$C$4:$C$503,$B113,機種販売入力!$B$4:$B$503,"&lt;&gt;YM"))</f>
        <v/>
      </c>
      <c r="F113" s="30">
        <f>IF($B113="","",N($D113)*E113)</f>
        <v/>
      </c>
      <c r="G113" s="57" t="n"/>
      <c r="I113" s="41" t="n"/>
      <c r="J113" s="40" t="n"/>
      <c r="K113" s="41" t="n"/>
      <c r="L113" s="41" t="n"/>
      <c r="M113" s="30">
        <f>IF($J113="","",SUMIFS(機種販売入力!$H$4:$H$503,機種販売入力!$C$4:$C$503,$J113,機種販売入力!$B$4:$B$503,"YM"))</f>
        <v/>
      </c>
      <c r="N113" s="30">
        <f>IF($J113="","",N($L113)*M113)</f>
        <v/>
      </c>
      <c r="O113" s="57" t="n"/>
    </row>
    <row r="114">
      <c r="A114" s="41" t="inlineStr">
        <is>
          <t>Android</t>
        </is>
      </c>
      <c r="B114" s="40" t="inlineStr">
        <is>
          <t>Xperia 1 VII</t>
        </is>
      </c>
      <c r="C114" s="41" t="inlineStr">
        <is>
          <t>H</t>
        </is>
      </c>
      <c r="D114" s="41" t="n">
        <v>2</v>
      </c>
      <c r="E114" s="30">
        <f>IF($B114="","",SUMIFS(機種販売入力!$H$4:$H$503,機種販売入力!$C$4:$C$503,$B114,機種販売入力!$B$4:$B$503,"&lt;&gt;YM"))</f>
        <v/>
      </c>
      <c r="F114" s="30">
        <f>IF($B114="","",N($D114)*E114)</f>
        <v/>
      </c>
      <c r="G114" s="57" t="n"/>
      <c r="I114" s="41" t="n"/>
      <c r="J114" s="40" t="n"/>
      <c r="K114" s="41" t="n"/>
      <c r="L114" s="41" t="n"/>
      <c r="M114" s="30">
        <f>IF($J114="","",SUMIFS(機種販売入力!$H$4:$H$503,機種販売入力!$C$4:$C$503,$J114,機種販売入力!$B$4:$B$503,"YM"))</f>
        <v/>
      </c>
      <c r="N114" s="30">
        <f>IF($J114="","",N($L114)*M114)</f>
        <v/>
      </c>
      <c r="O114" s="57" t="n"/>
    </row>
    <row r="115">
      <c r="A115" s="41" t="inlineStr">
        <is>
          <t>Android</t>
        </is>
      </c>
      <c r="B115" s="40" t="inlineStr">
        <is>
          <t>Xperia 1 VI</t>
        </is>
      </c>
      <c r="C115" s="41" t="inlineStr">
        <is>
          <t>H</t>
        </is>
      </c>
      <c r="D115" s="41" t="n">
        <v>2</v>
      </c>
      <c r="E115" s="30">
        <f>IF($B115="","",SUMIFS(機種販売入力!$H$4:$H$503,機種販売入力!$C$4:$C$503,$B115,機種販売入力!$B$4:$B$503,"&lt;&gt;YM"))</f>
        <v/>
      </c>
      <c r="F115" s="30">
        <f>IF($B115="","",N($D115)*E115)</f>
        <v/>
      </c>
      <c r="G115" s="57" t="n"/>
      <c r="I115" s="41" t="n"/>
      <c r="J115" s="40" t="n"/>
      <c r="K115" s="41" t="n"/>
      <c r="L115" s="41" t="n"/>
      <c r="M115" s="30">
        <f>IF($J115="","",SUMIFS(機種販売入力!$H$4:$H$503,機種販売入力!$C$4:$C$503,$J115,機種販売入力!$B$4:$B$503,"YM"))</f>
        <v/>
      </c>
      <c r="N115" s="30">
        <f>IF($J115="","",N($L115)*M115)</f>
        <v/>
      </c>
      <c r="O115" s="57" t="n"/>
    </row>
    <row r="116">
      <c r="A116" s="41" t="inlineStr">
        <is>
          <t>Android</t>
        </is>
      </c>
      <c r="B116" s="40" t="inlineStr">
        <is>
          <t>Xperia 1 V</t>
        </is>
      </c>
      <c r="C116" s="41" t="inlineStr">
        <is>
          <t>H</t>
        </is>
      </c>
      <c r="D116" s="41" t="n">
        <v>2</v>
      </c>
      <c r="E116" s="30">
        <f>IF($B116="","",SUMIFS(機種販売入力!$H$4:$H$503,機種販売入力!$C$4:$C$503,$B116,機種販売入力!$B$4:$B$503,"&lt;&gt;YM"))</f>
        <v/>
      </c>
      <c r="F116" s="30">
        <f>IF($B116="","",N($D116)*E116)</f>
        <v/>
      </c>
      <c r="G116" s="57" t="n"/>
      <c r="I116" s="41" t="n"/>
      <c r="J116" s="40" t="n"/>
      <c r="K116" s="41" t="n"/>
      <c r="L116" s="41" t="n"/>
      <c r="M116" s="30">
        <f>IF($J116="","",SUMIFS(機種販売入力!$H$4:$H$503,機種販売入力!$C$4:$C$503,$J116,機種販売入力!$B$4:$B$503,"YM"))</f>
        <v/>
      </c>
      <c r="N116" s="30">
        <f>IF($J116="","",N($L116)*M116)</f>
        <v/>
      </c>
      <c r="O116" s="57" t="n"/>
    </row>
    <row r="117">
      <c r="A117" s="41" t="inlineStr">
        <is>
          <t>Android</t>
        </is>
      </c>
      <c r="B117" s="40" t="inlineStr">
        <is>
          <t>Xperia 10 VIII</t>
        </is>
      </c>
      <c r="C117" s="41" t="inlineStr">
        <is>
          <t>M</t>
        </is>
      </c>
      <c r="D117" s="41" t="n">
        <v>2</v>
      </c>
      <c r="E117" s="30">
        <f>IF($B117="","",SUMIFS(機種販売入力!$H$4:$H$503,機種販売入力!$C$4:$C$503,$B117,機種販売入力!$B$4:$B$503,"&lt;&gt;YM"))</f>
        <v/>
      </c>
      <c r="F117" s="30">
        <f>IF($B117="","",N($D117)*E117)</f>
        <v/>
      </c>
      <c r="G117" s="57" t="n"/>
      <c r="I117" s="41" t="n"/>
      <c r="J117" s="40" t="n"/>
      <c r="K117" s="41" t="n"/>
      <c r="L117" s="41" t="n"/>
      <c r="M117" s="30">
        <f>IF($J117="","",SUMIFS(機種販売入力!$H$4:$H$503,機種販売入力!$C$4:$C$503,$J117,機種販売入力!$B$4:$B$503,"YM"))</f>
        <v/>
      </c>
      <c r="N117" s="30">
        <f>IF($J117="","",N($L117)*M117)</f>
        <v/>
      </c>
      <c r="O117" s="57" t="n"/>
    </row>
    <row r="118">
      <c r="A118" s="41" t="inlineStr">
        <is>
          <t>Android</t>
        </is>
      </c>
      <c r="B118" s="40" t="inlineStr">
        <is>
          <t>Xperia 10 VII</t>
        </is>
      </c>
      <c r="C118" s="41" t="inlineStr">
        <is>
          <t>M</t>
        </is>
      </c>
      <c r="D118" s="41" t="n">
        <v>2</v>
      </c>
      <c r="E118" s="30">
        <f>IF($B118="","",SUMIFS(機種販売入力!$H$4:$H$503,機種販売入力!$C$4:$C$503,$B118,機種販売入力!$B$4:$B$503,"&lt;&gt;YM"))</f>
        <v/>
      </c>
      <c r="F118" s="30">
        <f>IF($B118="","",N($D118)*E118)</f>
        <v/>
      </c>
      <c r="G118" s="57" t="n"/>
      <c r="I118" s="41" t="n"/>
      <c r="J118" s="40" t="n"/>
      <c r="K118" s="41" t="n"/>
      <c r="L118" s="41" t="n"/>
      <c r="M118" s="30">
        <f>IF($J118="","",SUMIFS(機種販売入力!$H$4:$H$503,機種販売入力!$C$4:$C$503,$J118,機種販売入力!$B$4:$B$503,"YM"))</f>
        <v/>
      </c>
      <c r="N118" s="30">
        <f>IF($J118="","",N($L118)*M118)</f>
        <v/>
      </c>
      <c r="O118" s="57" t="n"/>
    </row>
    <row r="119">
      <c r="A119" s="41" t="inlineStr">
        <is>
          <t>Android</t>
        </is>
      </c>
      <c r="B119" s="40" t="inlineStr">
        <is>
          <t>Xperia 10 VI</t>
        </is>
      </c>
      <c r="C119" s="41" t="inlineStr">
        <is>
          <t>M</t>
        </is>
      </c>
      <c r="D119" s="41" t="n">
        <v>2</v>
      </c>
      <c r="E119" s="30">
        <f>IF($B119="","",SUMIFS(機種販売入力!$H$4:$H$503,機種販売入力!$C$4:$C$503,$B119,機種販売入力!$B$4:$B$503,"&lt;&gt;YM"))</f>
        <v/>
      </c>
      <c r="F119" s="30">
        <f>IF($B119="","",N($D119)*E119)</f>
        <v/>
      </c>
      <c r="G119" s="57" t="n"/>
      <c r="I119" s="41" t="n"/>
      <c r="J119" s="40" t="n"/>
      <c r="K119" s="41" t="n"/>
      <c r="L119" s="41" t="n"/>
      <c r="M119" s="30">
        <f>IF($J119="","",SUMIFS(機種販売入力!$H$4:$H$503,機種販売入力!$C$4:$C$503,$J119,機種販売入力!$B$4:$B$503,"YM"))</f>
        <v/>
      </c>
      <c r="N119" s="30">
        <f>IF($J119="","",N($L119)*M119)</f>
        <v/>
      </c>
      <c r="O119" s="57" t="n"/>
    </row>
    <row r="120">
      <c r="A120" s="41" t="inlineStr">
        <is>
          <t>Android</t>
        </is>
      </c>
      <c r="B120" s="40" t="inlineStr">
        <is>
          <t>Xperia 10 Ⅴ</t>
        </is>
      </c>
      <c r="C120" s="41" t="inlineStr">
        <is>
          <t>L</t>
        </is>
      </c>
      <c r="D120" s="41" t="n">
        <v>2</v>
      </c>
      <c r="E120" s="30">
        <f>IF($B120="","",SUMIFS(機種販売入力!$H$4:$H$503,機種販売入力!$C$4:$C$503,$B120,機種販売入力!$B$4:$B$503,"&lt;&gt;YM"))</f>
        <v/>
      </c>
      <c r="F120" s="30">
        <f>IF($B120="","",N($D120)*E120)</f>
        <v/>
      </c>
      <c r="G120" s="57" t="n"/>
      <c r="I120" s="41" t="n"/>
      <c r="J120" s="40" t="n"/>
      <c r="K120" s="41" t="n"/>
      <c r="L120" s="41" t="n"/>
      <c r="M120" s="30">
        <f>IF($J120="","",SUMIFS(機種販売入力!$H$4:$H$503,機種販売入力!$C$4:$C$503,$J120,機種販売入力!$B$4:$B$503,"YM"))</f>
        <v/>
      </c>
      <c r="N120" s="30">
        <f>IF($J120="","",N($L120)*M120)</f>
        <v/>
      </c>
      <c r="O120" s="57" t="n"/>
    </row>
    <row r="121">
      <c r="A121" s="41" t="inlineStr">
        <is>
          <t>Android</t>
        </is>
      </c>
      <c r="B121" s="40" t="inlineStr">
        <is>
          <t>Xperia 1 Ⅳ</t>
        </is>
      </c>
      <c r="C121" s="41" t="inlineStr">
        <is>
          <t>H</t>
        </is>
      </c>
      <c r="D121" s="41" t="n">
        <v>2</v>
      </c>
      <c r="E121" s="30">
        <f>IF($B121="","",SUMIFS(機種販売入力!$H$4:$H$503,機種販売入力!$C$4:$C$503,$B121,機種販売入力!$B$4:$B$503,"&lt;&gt;YM"))</f>
        <v/>
      </c>
      <c r="F121" s="30">
        <f>IF($B121="","",N($D121)*E121)</f>
        <v/>
      </c>
      <c r="G121" s="57" t="n"/>
      <c r="I121" s="41" t="n"/>
      <c r="J121" s="40" t="n"/>
      <c r="K121" s="41" t="n"/>
      <c r="L121" s="41" t="n"/>
      <c r="M121" s="30">
        <f>IF($J121="","",SUMIFS(機種販売入力!$H$4:$H$503,機種販売入力!$C$4:$C$503,$J121,機種販売入力!$B$4:$B$503,"YM"))</f>
        <v/>
      </c>
      <c r="N121" s="30">
        <f>IF($J121="","",N($L121)*M121)</f>
        <v/>
      </c>
      <c r="O121" s="57" t="n"/>
    </row>
    <row r="122">
      <c r="A122" s="41" t="inlineStr">
        <is>
          <t>Android</t>
        </is>
      </c>
      <c r="B122" s="40" t="inlineStr">
        <is>
          <t>Xperia 10 Ⅳ</t>
        </is>
      </c>
      <c r="C122" s="41" t="inlineStr">
        <is>
          <t>M</t>
        </is>
      </c>
      <c r="D122" s="41" t="n">
        <v>2</v>
      </c>
      <c r="E122" s="30">
        <f>IF($B122="","",SUMIFS(機種販売入力!$H$4:$H$503,機種販売入力!$C$4:$C$503,$B122,機種販売入力!$B$4:$B$503,"&lt;&gt;YM"))</f>
        <v/>
      </c>
      <c r="F122" s="30">
        <f>IF($B122="","",N($D122)*E122)</f>
        <v/>
      </c>
      <c r="G122" s="57" t="n"/>
      <c r="I122" s="41" t="n"/>
      <c r="J122" s="40" t="n"/>
      <c r="K122" s="41" t="n"/>
      <c r="L122" s="41" t="n"/>
      <c r="M122" s="30">
        <f>IF($J122="","",SUMIFS(機種販売入力!$H$4:$H$503,機種販売入力!$C$4:$C$503,$J122,機種販売入力!$B$4:$B$503,"YM"))</f>
        <v/>
      </c>
      <c r="N122" s="30">
        <f>IF($J122="","",N($L122)*M122)</f>
        <v/>
      </c>
      <c r="O122" s="57" t="n"/>
    </row>
    <row r="123">
      <c r="A123" s="41" t="inlineStr">
        <is>
          <t>Android</t>
        </is>
      </c>
      <c r="B123" s="40" t="inlineStr">
        <is>
          <t>AQUOS R11</t>
        </is>
      </c>
      <c r="C123" s="41" t="inlineStr">
        <is>
          <t>M</t>
        </is>
      </c>
      <c r="D123" s="41" t="n">
        <v>2</v>
      </c>
      <c r="E123" s="30">
        <f>IF($B123="","",SUMIFS(機種販売入力!$H$4:$H$503,機種販売入力!$C$4:$C$503,$B123,機種販売入力!$B$4:$B$503,"&lt;&gt;YM"))</f>
        <v/>
      </c>
      <c r="F123" s="30">
        <f>IF($B123="","",N($D123)*E123)</f>
        <v/>
      </c>
      <c r="G123" s="57" t="n"/>
      <c r="I123" s="41" t="n"/>
      <c r="J123" s="40" t="n"/>
      <c r="K123" s="41" t="n"/>
      <c r="L123" s="41" t="n"/>
      <c r="M123" s="30">
        <f>IF($J123="","",SUMIFS(機種販売入力!$H$4:$H$503,機種販売入力!$C$4:$C$503,$J123,機種販売入力!$B$4:$B$503,"YM"))</f>
        <v/>
      </c>
      <c r="N123" s="30">
        <f>IF($J123="","",N($L123)*M123)</f>
        <v/>
      </c>
      <c r="O123" s="57" t="n"/>
    </row>
    <row r="124">
      <c r="A124" s="41" t="inlineStr">
        <is>
          <t>Android</t>
        </is>
      </c>
      <c r="B124" s="40" t="inlineStr">
        <is>
          <t>AQUOS sense10</t>
        </is>
      </c>
      <c r="C124" s="41" t="inlineStr">
        <is>
          <t>M</t>
        </is>
      </c>
      <c r="D124" s="41" t="n">
        <v>2</v>
      </c>
      <c r="E124" s="30">
        <f>IF($B124="","",SUMIFS(機種販売入力!$H$4:$H$503,機種販売入力!$C$4:$C$503,$B124,機種販売入力!$B$4:$B$503,"&lt;&gt;YM"))</f>
        <v/>
      </c>
      <c r="F124" s="30">
        <f>IF($B124="","",N($D124)*E124)</f>
        <v/>
      </c>
      <c r="G124" s="57" t="n"/>
      <c r="I124" s="41" t="n"/>
      <c r="J124" s="40" t="n"/>
      <c r="K124" s="41" t="n"/>
      <c r="L124" s="41" t="n"/>
      <c r="M124" s="30">
        <f>IF($J124="","",SUMIFS(機種販売入力!$H$4:$H$503,機種販売入力!$C$4:$C$503,$J124,機種販売入力!$B$4:$B$503,"YM"))</f>
        <v/>
      </c>
      <c r="N124" s="30">
        <f>IF($J124="","",N($L124)*M124)</f>
        <v/>
      </c>
      <c r="O124" s="57" t="n"/>
    </row>
    <row r="125">
      <c r="A125" s="41" t="inlineStr">
        <is>
          <t>Android</t>
        </is>
      </c>
      <c r="B125" s="40" t="inlineStr">
        <is>
          <t>AQUOS R10</t>
        </is>
      </c>
      <c r="C125" s="41" t="inlineStr">
        <is>
          <t>M</t>
        </is>
      </c>
      <c r="D125" s="41" t="n">
        <v>2</v>
      </c>
      <c r="E125" s="30">
        <f>IF($B125="","",SUMIFS(機種販売入力!$H$4:$H$503,機種販売入力!$C$4:$C$503,$B125,機種販売入力!$B$4:$B$503,"&lt;&gt;YM"))</f>
        <v/>
      </c>
      <c r="F125" s="30">
        <f>IF($B125="","",N($D125)*E125)</f>
        <v/>
      </c>
      <c r="G125" s="57" t="n"/>
      <c r="I125" s="41" t="n"/>
      <c r="J125" s="40" t="n"/>
      <c r="K125" s="41" t="n"/>
      <c r="L125" s="41" t="n"/>
      <c r="M125" s="30">
        <f>IF($J125="","",SUMIFS(機種販売入力!$H$4:$H$503,機種販売入力!$C$4:$C$503,$J125,機種販売入力!$B$4:$B$503,"YM"))</f>
        <v/>
      </c>
      <c r="N125" s="30">
        <f>IF($J125="","",N($L125)*M125)</f>
        <v/>
      </c>
      <c r="O125" s="57" t="n"/>
    </row>
    <row r="126">
      <c r="A126" s="41" t="inlineStr">
        <is>
          <t>Android</t>
        </is>
      </c>
      <c r="B126" s="40" t="inlineStr">
        <is>
          <t>AQUOS R9 pro</t>
        </is>
      </c>
      <c r="C126" s="41" t="inlineStr">
        <is>
          <t>H</t>
        </is>
      </c>
      <c r="D126" s="41" t="n">
        <v>2</v>
      </c>
      <c r="E126" s="30">
        <f>IF($B126="","",SUMIFS(機種販売入力!$H$4:$H$503,機種販売入力!$C$4:$C$503,$B126,機種販売入力!$B$4:$B$503,"&lt;&gt;YM"))</f>
        <v/>
      </c>
      <c r="F126" s="30">
        <f>IF($B126="","",N($D126)*E126)</f>
        <v/>
      </c>
      <c r="G126" s="57" t="n"/>
      <c r="I126" s="41" t="n"/>
      <c r="J126" s="40" t="n"/>
      <c r="K126" s="41" t="n"/>
      <c r="L126" s="41" t="n"/>
      <c r="M126" s="30">
        <f>IF($J126="","",SUMIFS(機種販売入力!$H$4:$H$503,機種販売入力!$C$4:$C$503,$J126,機種販売入力!$B$4:$B$503,"YM"))</f>
        <v/>
      </c>
      <c r="N126" s="30">
        <f>IF($J126="","",N($L126)*M126)</f>
        <v/>
      </c>
      <c r="O126" s="57" t="n"/>
    </row>
    <row r="127">
      <c r="A127" s="41" t="inlineStr">
        <is>
          <t>Android</t>
        </is>
      </c>
      <c r="B127" s="40" t="inlineStr">
        <is>
          <t>AQUOS R9</t>
        </is>
      </c>
      <c r="C127" s="41" t="inlineStr">
        <is>
          <t>M</t>
        </is>
      </c>
      <c r="D127" s="41" t="n">
        <v>2</v>
      </c>
      <c r="E127" s="30">
        <f>IF($B127="","",SUMIFS(機種販売入力!$H$4:$H$503,機種販売入力!$C$4:$C$503,$B127,機種販売入力!$B$4:$B$503,"&lt;&gt;YM"))</f>
        <v/>
      </c>
      <c r="F127" s="30">
        <f>IF($B127="","",N($D127)*E127)</f>
        <v/>
      </c>
      <c r="G127" s="57" t="n"/>
      <c r="I127" s="41" t="n"/>
      <c r="J127" s="40" t="n"/>
      <c r="K127" s="41" t="n"/>
      <c r="L127" s="41" t="n"/>
      <c r="M127" s="30">
        <f>IF($J127="","",SUMIFS(機種販売入力!$H$4:$H$503,機種販売入力!$C$4:$C$503,$J127,機種販売入力!$B$4:$B$503,"YM"))</f>
        <v/>
      </c>
      <c r="N127" s="30">
        <f>IF($J127="","",N($L127)*M127)</f>
        <v/>
      </c>
      <c r="O127" s="57" t="n"/>
    </row>
    <row r="128">
      <c r="A128" s="41" t="inlineStr">
        <is>
          <t>Android</t>
        </is>
      </c>
      <c r="B128" s="40" t="inlineStr">
        <is>
          <t>AQUOS R8 pro</t>
        </is>
      </c>
      <c r="C128" s="41" t="inlineStr">
        <is>
          <t>H</t>
        </is>
      </c>
      <c r="D128" s="41" t="n">
        <v>2</v>
      </c>
      <c r="E128" s="30">
        <f>IF($B128="","",SUMIFS(機種販売入力!$H$4:$H$503,機種販売入力!$C$4:$C$503,$B128,機種販売入力!$B$4:$B$503,"&lt;&gt;YM"))</f>
        <v/>
      </c>
      <c r="F128" s="30">
        <f>IF($B128="","",N($D128)*E128)</f>
        <v/>
      </c>
      <c r="G128" s="57" t="n"/>
      <c r="I128" s="41" t="n"/>
      <c r="J128" s="40" t="n"/>
      <c r="K128" s="41" t="n"/>
      <c r="L128" s="41" t="n"/>
      <c r="M128" s="30">
        <f>IF($J128="","",SUMIFS(機種販売入力!$H$4:$H$503,機種販売入力!$C$4:$C$503,$J128,機種販売入力!$B$4:$B$503,"YM"))</f>
        <v/>
      </c>
      <c r="N128" s="30">
        <f>IF($J128="","",N($L128)*M128)</f>
        <v/>
      </c>
      <c r="O128" s="57" t="n"/>
    </row>
    <row r="129">
      <c r="A129" s="41" t="inlineStr">
        <is>
          <t>Android</t>
        </is>
      </c>
      <c r="B129" s="40" t="inlineStr">
        <is>
          <t>AQUOS sense9</t>
        </is>
      </c>
      <c r="C129" s="41" t="inlineStr">
        <is>
          <t>M</t>
        </is>
      </c>
      <c r="D129" s="41" t="n">
        <v>2</v>
      </c>
      <c r="E129" s="30">
        <f>IF($B129="","",SUMIFS(機種販売入力!$H$4:$H$503,機種販売入力!$C$4:$C$503,$B129,機種販売入力!$B$4:$B$503,"&lt;&gt;YM"))</f>
        <v/>
      </c>
      <c r="F129" s="30">
        <f>IF($B129="","",N($D129)*E129)</f>
        <v/>
      </c>
      <c r="G129" s="57" t="n"/>
      <c r="I129" s="41" t="n"/>
      <c r="J129" s="40" t="n"/>
      <c r="K129" s="41" t="n"/>
      <c r="L129" s="41" t="n"/>
      <c r="M129" s="30">
        <f>IF($J129="","",SUMIFS(機種販売入力!$H$4:$H$503,機種販売入力!$C$4:$C$503,$J129,機種販売入力!$B$4:$B$503,"YM"))</f>
        <v/>
      </c>
      <c r="N129" s="30">
        <f>IF($J129="","",N($L129)*M129)</f>
        <v/>
      </c>
      <c r="O129" s="57" t="n"/>
    </row>
    <row r="130">
      <c r="A130" s="41" t="inlineStr">
        <is>
          <t>Android</t>
        </is>
      </c>
      <c r="B130" s="40" t="inlineStr">
        <is>
          <t>AQUOS sense7 plus</t>
        </is>
      </c>
      <c r="C130" s="41" t="inlineStr">
        <is>
          <t>M</t>
        </is>
      </c>
      <c r="D130" s="41" t="n">
        <v>2</v>
      </c>
      <c r="E130" s="30">
        <f>IF($B130="","",SUMIFS(機種販売入力!$H$4:$H$503,機種販売入力!$C$4:$C$503,$B130,機種販売入力!$B$4:$B$503,"&lt;&gt;YM"))</f>
        <v/>
      </c>
      <c r="F130" s="30">
        <f>IF($B130="","",N($D130)*E130)</f>
        <v/>
      </c>
      <c r="G130" s="57" t="n"/>
      <c r="I130" s="41" t="n"/>
      <c r="J130" s="40" t="n"/>
      <c r="K130" s="41" t="n"/>
      <c r="L130" s="41" t="n"/>
      <c r="M130" s="30">
        <f>IF($J130="","",SUMIFS(機種販売入力!$H$4:$H$503,機種販売入力!$C$4:$C$503,$J130,機種販売入力!$B$4:$B$503,"YM"))</f>
        <v/>
      </c>
      <c r="N130" s="30">
        <f>IF($J130="","",N($L130)*M130)</f>
        <v/>
      </c>
      <c r="O130" s="57" t="n"/>
    </row>
    <row r="131">
      <c r="A131" s="41" t="inlineStr">
        <is>
          <t>Android</t>
        </is>
      </c>
      <c r="B131" s="40" t="inlineStr">
        <is>
          <t>AQUOS wish</t>
        </is>
      </c>
      <c r="C131" s="41" t="inlineStr">
        <is>
          <t>L</t>
        </is>
      </c>
      <c r="D131" s="41" t="n"/>
      <c r="E131" s="30">
        <f>IF($B131="","",SUMIFS(機種販売入力!$H$4:$H$503,機種販売入力!$C$4:$C$503,$B131,機種販売入力!$B$4:$B$503,"&lt;&gt;YM"))</f>
        <v/>
      </c>
      <c r="F131" s="30">
        <f>IF($B131="","",N($D131)*E131)</f>
        <v/>
      </c>
      <c r="G131" s="57" t="n"/>
      <c r="I131" s="41" t="n"/>
      <c r="J131" s="40" t="n"/>
      <c r="K131" s="41" t="n"/>
      <c r="L131" s="41" t="n"/>
      <c r="M131" s="30">
        <f>IF($J131="","",SUMIFS(機種販売入力!$H$4:$H$503,機種販売入力!$C$4:$C$503,$J131,機種販売入力!$B$4:$B$503,"YM"))</f>
        <v/>
      </c>
      <c r="N131" s="30">
        <f>IF($J131="","",N($L131)*M131)</f>
        <v/>
      </c>
      <c r="O131" s="57" t="n"/>
    </row>
    <row r="132">
      <c r="A132" s="41" t="inlineStr">
        <is>
          <t>Android</t>
        </is>
      </c>
      <c r="B132" s="40" t="inlineStr">
        <is>
          <t>AQUOS wish3</t>
        </is>
      </c>
      <c r="C132" s="41" t="inlineStr">
        <is>
          <t>L</t>
        </is>
      </c>
      <c r="D132" s="41" t="n"/>
      <c r="E132" s="30">
        <f>IF($B132="","",SUMIFS(機種販売入力!$H$4:$H$503,機種販売入力!$C$4:$C$503,$B132,機種販売入力!$B$4:$B$503,"&lt;&gt;YM"))</f>
        <v/>
      </c>
      <c r="F132" s="30">
        <f>IF($B132="","",N($D132)*E132)</f>
        <v/>
      </c>
      <c r="G132" s="57" t="n"/>
      <c r="I132" s="41" t="n"/>
      <c r="J132" s="40" t="n"/>
      <c r="K132" s="41" t="n"/>
      <c r="L132" s="41" t="n"/>
      <c r="M132" s="30">
        <f>IF($J132="","",SUMIFS(機種販売入力!$H$4:$H$503,機種販売入力!$C$4:$C$503,$J132,機種販売入力!$B$4:$B$503,"YM"))</f>
        <v/>
      </c>
      <c r="N132" s="30">
        <f>IF($J132="","",N($L132)*M132)</f>
        <v/>
      </c>
      <c r="O132" s="57" t="n"/>
    </row>
    <row r="133">
      <c r="A133" s="41" t="inlineStr">
        <is>
          <t>Android</t>
        </is>
      </c>
      <c r="B133" s="40" t="inlineStr">
        <is>
          <t>AQUOS wish3_SB</t>
        </is>
      </c>
      <c r="C133" s="41" t="inlineStr">
        <is>
          <t>L</t>
        </is>
      </c>
      <c r="D133" s="41" t="n"/>
      <c r="E133" s="30">
        <f>IF($B133="","",SUMIFS(機種販売入力!$H$4:$H$503,機種販売入力!$C$4:$C$503,$B133,機種販売入力!$B$4:$B$503,"&lt;&gt;YM"))</f>
        <v/>
      </c>
      <c r="F133" s="30">
        <f>IF($B133="","",N($D133)*E133)</f>
        <v/>
      </c>
      <c r="G133" s="57" t="n"/>
      <c r="I133" s="41" t="n"/>
      <c r="J133" s="40" t="n"/>
      <c r="K133" s="41" t="n"/>
      <c r="L133" s="41" t="n"/>
      <c r="M133" s="30">
        <f>IF($J133="","",SUMIFS(機種販売入力!$H$4:$H$503,機種販売入力!$C$4:$C$503,$J133,機種販売入力!$B$4:$B$503,"YM"))</f>
        <v/>
      </c>
      <c r="N133" s="30">
        <f>IF($J133="","",N($L133)*M133)</f>
        <v/>
      </c>
      <c r="O133" s="57" t="n"/>
    </row>
    <row r="134">
      <c r="A134" s="41" t="inlineStr">
        <is>
          <t>Android</t>
        </is>
      </c>
      <c r="B134" s="40" t="inlineStr">
        <is>
          <t>AQUOS wish4_biz</t>
        </is>
      </c>
      <c r="C134" s="41" t="inlineStr">
        <is>
          <t>L</t>
        </is>
      </c>
      <c r="D134" s="41" t="n"/>
      <c r="E134" s="30">
        <f>IF($B134="","",SUMIFS(機種販売入力!$H$4:$H$503,機種販売入力!$C$4:$C$503,$B134,機種販売入力!$B$4:$B$503,"&lt;&gt;YM"))</f>
        <v/>
      </c>
      <c r="F134" s="30">
        <f>IF($B134="","",N($D134)*E134)</f>
        <v/>
      </c>
      <c r="G134" s="57" t="n"/>
      <c r="I134" s="41" t="n"/>
      <c r="J134" s="40" t="n"/>
      <c r="K134" s="41" t="n"/>
      <c r="L134" s="41" t="n"/>
      <c r="M134" s="30">
        <f>IF($J134="","",SUMIFS(機種販売入力!$H$4:$H$503,機種販売入力!$C$4:$C$503,$J134,機種販売入力!$B$4:$B$503,"YM"))</f>
        <v/>
      </c>
      <c r="N134" s="30">
        <f>IF($J134="","",N($L134)*M134)</f>
        <v/>
      </c>
      <c r="O134" s="57" t="n"/>
    </row>
    <row r="135">
      <c r="A135" s="41" t="inlineStr">
        <is>
          <t>Android</t>
        </is>
      </c>
      <c r="B135" s="40" t="inlineStr">
        <is>
          <t>AQUOS wish6</t>
        </is>
      </c>
      <c r="C135" s="41" t="inlineStr">
        <is>
          <t>L</t>
        </is>
      </c>
      <c r="D135" s="41" t="n"/>
      <c r="E135" s="30">
        <f>IF($B135="","",SUMIFS(機種販売入力!$H$4:$H$503,機種販売入力!$C$4:$C$503,$B135,機種販売入力!$B$4:$B$503,"&lt;&gt;YM"))</f>
        <v/>
      </c>
      <c r="F135" s="30">
        <f>IF($B135="","",N($D135)*E135)</f>
        <v/>
      </c>
      <c r="G135" s="57" t="n"/>
      <c r="I135" s="41" t="n"/>
      <c r="J135" s="40" t="n"/>
      <c r="K135" s="41" t="n"/>
      <c r="L135" s="41" t="n"/>
      <c r="M135" s="30">
        <f>IF($J135="","",SUMIFS(機種販売入力!$H$4:$H$503,機種販売入力!$C$4:$C$503,$J135,機種販売入力!$B$4:$B$503,"YM"))</f>
        <v/>
      </c>
      <c r="N135" s="30">
        <f>IF($J135="","",N($L135)*M135)</f>
        <v/>
      </c>
      <c r="O135" s="57" t="n"/>
    </row>
    <row r="136">
      <c r="A136" s="41" t="inlineStr">
        <is>
          <t>Android</t>
        </is>
      </c>
      <c r="B136" s="40" t="inlineStr">
        <is>
          <t>AQUOS R7</t>
        </is>
      </c>
      <c r="C136" s="41" t="inlineStr">
        <is>
          <t>H</t>
        </is>
      </c>
      <c r="D136" s="41" t="n">
        <v>2</v>
      </c>
      <c r="E136" s="30">
        <f>IF($B136="","",SUMIFS(機種販売入力!$H$4:$H$503,機種販売入力!$C$4:$C$503,$B136,機種販売入力!$B$4:$B$503,"&lt;&gt;YM"))</f>
        <v/>
      </c>
      <c r="F136" s="30">
        <f>IF($B136="","",N($D136)*E136)</f>
        <v/>
      </c>
      <c r="G136" s="57" t="n"/>
      <c r="I136" s="41" t="n"/>
      <c r="J136" s="40" t="n"/>
      <c r="K136" s="41" t="n"/>
      <c r="L136" s="41" t="n"/>
      <c r="M136" s="30">
        <f>IF($J136="","",SUMIFS(機種販売入力!$H$4:$H$503,機種販売入力!$C$4:$C$503,$J136,機種販売入力!$B$4:$B$503,"YM"))</f>
        <v/>
      </c>
      <c r="N136" s="30">
        <f>IF($J136="","",N($L136)*M136)</f>
        <v/>
      </c>
      <c r="O136" s="57" t="n"/>
    </row>
    <row r="137">
      <c r="A137" s="41" t="inlineStr">
        <is>
          <t>Android</t>
        </is>
      </c>
      <c r="B137" s="40" t="inlineStr">
        <is>
          <t>AQUOS R6</t>
        </is>
      </c>
      <c r="C137" s="41" t="inlineStr">
        <is>
          <t>M</t>
        </is>
      </c>
      <c r="D137" s="41" t="n">
        <v>2</v>
      </c>
      <c r="E137" s="30">
        <f>IF($B137="","",SUMIFS(機種販売入力!$H$4:$H$503,機種販売入力!$C$4:$C$503,$B137,機種販売入力!$B$4:$B$503,"&lt;&gt;YM"))</f>
        <v/>
      </c>
      <c r="F137" s="30">
        <f>IF($B137="","",N($D137)*E137)</f>
        <v/>
      </c>
      <c r="G137" s="57" t="n"/>
      <c r="I137" s="41" t="n"/>
      <c r="J137" s="40" t="n"/>
      <c r="K137" s="41" t="n"/>
      <c r="L137" s="41" t="n"/>
      <c r="M137" s="30">
        <f>IF($J137="","",SUMIFS(機種販売入力!$H$4:$H$503,機種販売入力!$C$4:$C$503,$J137,機種販売入力!$B$4:$B$503,"YM"))</f>
        <v/>
      </c>
      <c r="N137" s="30">
        <f>IF($J137="","",N($L137)*M137)</f>
        <v/>
      </c>
      <c r="O137" s="57" t="n"/>
    </row>
    <row r="138">
      <c r="A138" s="41" t="inlineStr">
        <is>
          <t>Android</t>
        </is>
      </c>
      <c r="B138" s="40" t="inlineStr">
        <is>
          <t>AQUOS zero6</t>
        </is>
      </c>
      <c r="C138" s="41" t="inlineStr">
        <is>
          <t>M</t>
        </is>
      </c>
      <c r="D138" s="41" t="n"/>
      <c r="E138" s="30">
        <f>IF($B138="","",SUMIFS(機種販売入力!$H$4:$H$503,機種販売入力!$C$4:$C$503,$B138,機種販売入力!$B$4:$B$503,"&lt;&gt;YM"))</f>
        <v/>
      </c>
      <c r="F138" s="30">
        <f>IF($B138="","",N($D138)*E138)</f>
        <v/>
      </c>
      <c r="G138" s="57" t="n"/>
      <c r="I138" s="41" t="n"/>
      <c r="J138" s="40" t="n"/>
      <c r="K138" s="41" t="n"/>
      <c r="L138" s="41" t="n"/>
      <c r="M138" s="30">
        <f>IF($J138="","",SUMIFS(機種販売入力!$H$4:$H$503,機種販売入力!$C$4:$C$503,$J138,機種販売入力!$B$4:$B$503,"YM"))</f>
        <v/>
      </c>
      <c r="N138" s="30">
        <f>IF($J138="","",N($L138)*M138)</f>
        <v/>
      </c>
      <c r="O138" s="57" t="n"/>
    </row>
    <row r="139">
      <c r="A139" s="41" t="inlineStr">
        <is>
          <t>Android</t>
        </is>
      </c>
      <c r="B139" s="40" t="inlineStr">
        <is>
          <t>DuraForce EX</t>
        </is>
      </c>
      <c r="C139" s="41" t="inlineStr">
        <is>
          <t>L</t>
        </is>
      </c>
      <c r="D139" s="41" t="n"/>
      <c r="E139" s="30">
        <f>IF($B139="","",SUMIFS(機種販売入力!$H$4:$H$503,機種販売入力!$C$4:$C$503,$B139,機種販売入力!$B$4:$B$503,"&lt;&gt;YM"))</f>
        <v/>
      </c>
      <c r="F139" s="30">
        <f>IF($B139="","",N($D139)*E139)</f>
        <v/>
      </c>
      <c r="G139" s="57" t="n"/>
      <c r="I139" s="41" t="n"/>
      <c r="J139" s="40" t="n"/>
      <c r="K139" s="41" t="n"/>
      <c r="L139" s="41" t="n"/>
      <c r="M139" s="30">
        <f>IF($J139="","",SUMIFS(機種販売入力!$H$4:$H$503,機種販売入力!$C$4:$C$503,$J139,機種販売入力!$B$4:$B$503,"YM"))</f>
        <v/>
      </c>
      <c r="N139" s="30">
        <f>IF($J139="","",N($L139)*M139)</f>
        <v/>
      </c>
      <c r="O139" s="57" t="n"/>
    </row>
    <row r="140">
      <c r="A140" s="41" t="inlineStr">
        <is>
          <t>Android</t>
        </is>
      </c>
      <c r="B140" s="40" t="inlineStr">
        <is>
          <t>DIGNO BX3</t>
        </is>
      </c>
      <c r="C140" s="41" t="inlineStr">
        <is>
          <t>L</t>
        </is>
      </c>
      <c r="D140" s="41" t="n"/>
      <c r="E140" s="30">
        <f>IF($B140="","",SUMIFS(機種販売入力!$H$4:$H$503,機種販売入力!$C$4:$C$503,$B140,機種販売入力!$B$4:$B$503,"&lt;&gt;YM"))</f>
        <v/>
      </c>
      <c r="F140" s="30">
        <f>IF($B140="","",N($D140)*E140)</f>
        <v/>
      </c>
      <c r="G140" s="57" t="n"/>
      <c r="I140" s="41" t="n"/>
      <c r="J140" s="40" t="n"/>
      <c r="K140" s="41" t="n"/>
      <c r="L140" s="41" t="n"/>
      <c r="M140" s="30">
        <f>IF($J140="","",SUMIFS(機種販売入力!$H$4:$H$503,機種販売入力!$C$4:$C$503,$J140,機種販売入力!$B$4:$B$503,"YM"))</f>
        <v/>
      </c>
      <c r="N140" s="30">
        <f>IF($J140="","",N($L140)*M140)</f>
        <v/>
      </c>
      <c r="O140" s="57" t="n"/>
    </row>
    <row r="141">
      <c r="A141" s="41" t="inlineStr">
        <is>
          <t>Android</t>
        </is>
      </c>
      <c r="B141" s="40" t="inlineStr">
        <is>
          <t>DIGNO BX3 カメラレス</t>
        </is>
      </c>
      <c r="C141" s="41" t="inlineStr">
        <is>
          <t>L</t>
        </is>
      </c>
      <c r="D141" s="41" t="n"/>
      <c r="E141" s="30">
        <f>IF($B141="","",SUMIFS(機種販売入力!$H$4:$H$503,機種販売入力!$C$4:$C$503,$B141,機種販売入力!$B$4:$B$503,"&lt;&gt;YM"))</f>
        <v/>
      </c>
      <c r="F141" s="30">
        <f>IF($B141="","",N($D141)*E141)</f>
        <v/>
      </c>
      <c r="G141" s="57" t="n"/>
      <c r="I141" s="41" t="n"/>
      <c r="J141" s="40" t="n"/>
      <c r="K141" s="41" t="n"/>
      <c r="L141" s="41" t="n"/>
      <c r="M141" s="30">
        <f>IF($J141="","",SUMIFS(機種販売入力!$H$4:$H$503,機種販売入力!$C$4:$C$503,$J141,機種販売入力!$B$4:$B$503,"YM"))</f>
        <v/>
      </c>
      <c r="N141" s="30">
        <f>IF($J141="","",N($L141)*M141)</f>
        <v/>
      </c>
      <c r="O141" s="57" t="n"/>
    </row>
    <row r="142">
      <c r="A142" s="41" t="inlineStr">
        <is>
          <t>Android</t>
        </is>
      </c>
      <c r="B142" s="40" t="inlineStr">
        <is>
          <t>DIGNO BX3 Plus</t>
        </is>
      </c>
      <c r="C142" s="41" t="inlineStr">
        <is>
          <t>L</t>
        </is>
      </c>
      <c r="D142" s="41" t="n"/>
      <c r="E142" s="30">
        <f>IF($B142="","",SUMIFS(機種販売入力!$H$4:$H$503,機種販売入力!$C$4:$C$503,$B142,機種販売入力!$B$4:$B$503,"&lt;&gt;YM"))</f>
        <v/>
      </c>
      <c r="F142" s="30">
        <f>IF($B142="","",N($D142)*E142)</f>
        <v/>
      </c>
      <c r="G142" s="57" t="n"/>
      <c r="I142" s="41" t="n"/>
      <c r="J142" s="40" t="n"/>
      <c r="K142" s="41" t="n"/>
      <c r="L142" s="41" t="n"/>
      <c r="M142" s="30">
        <f>IF($J142="","",SUMIFS(機種販売入力!$H$4:$H$503,機種販売入力!$C$4:$C$503,$J142,機種販売入力!$B$4:$B$503,"YM"))</f>
        <v/>
      </c>
      <c r="N142" s="30">
        <f>IF($J142="","",N($L142)*M142)</f>
        <v/>
      </c>
      <c r="O142" s="57" t="n"/>
    </row>
    <row r="143">
      <c r="A143" s="41" t="inlineStr">
        <is>
          <t>Android</t>
        </is>
      </c>
      <c r="B143" s="40" t="inlineStr">
        <is>
          <t>DIGNO BX2</t>
        </is>
      </c>
      <c r="C143" s="41" t="inlineStr">
        <is>
          <t>L</t>
        </is>
      </c>
      <c r="D143" s="41" t="n"/>
      <c r="E143" s="30">
        <f>IF($B143="","",SUMIFS(機種販売入力!$H$4:$H$503,機種販売入力!$C$4:$C$503,$B143,機種販売入力!$B$4:$B$503,"&lt;&gt;YM"))</f>
        <v/>
      </c>
      <c r="F143" s="30">
        <f>IF($B143="","",N($D143)*E143)</f>
        <v/>
      </c>
      <c r="G143" s="57" t="n"/>
      <c r="I143" s="41" t="n"/>
      <c r="J143" s="40" t="n"/>
      <c r="K143" s="41" t="n"/>
      <c r="L143" s="41" t="n"/>
      <c r="M143" s="30">
        <f>IF($J143="","",SUMIFS(機種販売入力!$H$4:$H$503,機種販売入力!$C$4:$C$503,$J143,機種販売入力!$B$4:$B$503,"YM"))</f>
        <v/>
      </c>
      <c r="N143" s="30">
        <f>IF($J143="","",N($L143)*M143)</f>
        <v/>
      </c>
      <c r="O143" s="57" t="n"/>
    </row>
    <row r="144">
      <c r="A144" s="41" t="inlineStr">
        <is>
          <t>Android</t>
        </is>
      </c>
      <c r="B144" s="40" t="inlineStr">
        <is>
          <t>arrows We2</t>
        </is>
      </c>
      <c r="C144" s="41" t="inlineStr">
        <is>
          <t>L</t>
        </is>
      </c>
      <c r="D144" s="41" t="n"/>
      <c r="E144" s="30">
        <f>IF($B144="","",SUMIFS(機種販売入力!$H$4:$H$503,機種販売入力!$C$4:$C$503,$B144,機種販売入力!$B$4:$B$503,"&lt;&gt;YM"))</f>
        <v/>
      </c>
      <c r="F144" s="30">
        <f>IF($B144="","",N($D144)*E144)</f>
        <v/>
      </c>
      <c r="G144" s="57" t="n"/>
      <c r="I144" s="41" t="n"/>
      <c r="J144" s="40" t="n"/>
      <c r="K144" s="41" t="n"/>
      <c r="L144" s="41" t="n"/>
      <c r="M144" s="30">
        <f>IF($J144="","",SUMIFS(機種販売入力!$H$4:$H$503,機種販売入力!$C$4:$C$503,$J144,機種販売入力!$B$4:$B$503,"YM"))</f>
        <v/>
      </c>
      <c r="N144" s="30">
        <f>IF($J144="","",N($L144)*M144)</f>
        <v/>
      </c>
      <c r="O144" s="57" t="n"/>
    </row>
    <row r="145">
      <c r="A145" s="41" t="inlineStr">
        <is>
          <t>Android</t>
        </is>
      </c>
      <c r="B145" s="40" t="inlineStr">
        <is>
          <t>arrows We</t>
        </is>
      </c>
      <c r="C145" s="41" t="inlineStr">
        <is>
          <t>L</t>
        </is>
      </c>
      <c r="D145" s="41" t="n"/>
      <c r="E145" s="30">
        <f>IF($B145="","",SUMIFS(機種販売入力!$H$4:$H$503,機種販売入力!$C$4:$C$503,$B145,機種販売入力!$B$4:$B$503,"&lt;&gt;YM"))</f>
        <v/>
      </c>
      <c r="F145" s="30">
        <f>IF($B145="","",N($D145)*E145)</f>
        <v/>
      </c>
      <c r="G145" s="57" t="n"/>
      <c r="I145" s="41" t="n"/>
      <c r="J145" s="40" t="n"/>
      <c r="K145" s="41" t="n"/>
      <c r="L145" s="41" t="n"/>
      <c r="M145" s="30">
        <f>IF($J145="","",SUMIFS(機種販売入力!$H$4:$H$503,機種販売入力!$C$4:$C$503,$J145,機種販売入力!$B$4:$B$503,"YM"))</f>
        <v/>
      </c>
      <c r="N145" s="30">
        <f>IF($J145="","",N($L145)*M145)</f>
        <v/>
      </c>
      <c r="O145" s="57" t="n"/>
    </row>
    <row r="146">
      <c r="A146" s="41" t="inlineStr">
        <is>
          <t>Android</t>
        </is>
      </c>
      <c r="B146" s="40" t="inlineStr">
        <is>
          <t>Xiaomi 14T Pro</t>
        </is>
      </c>
      <c r="C146" s="41" t="inlineStr">
        <is>
          <t>M</t>
        </is>
      </c>
      <c r="D146" s="41" t="n">
        <v>2</v>
      </c>
      <c r="E146" s="30">
        <f>IF($B146="","",SUMIFS(機種販売入力!$H$4:$H$503,機種販売入力!$C$4:$C$503,$B146,機種販売入力!$B$4:$B$503,"&lt;&gt;YM"))</f>
        <v/>
      </c>
      <c r="F146" s="30">
        <f>IF($B146="","",N($D146)*E146)</f>
        <v/>
      </c>
      <c r="G146" s="57" t="n"/>
      <c r="I146" s="41" t="n"/>
      <c r="J146" s="40" t="n"/>
      <c r="K146" s="41" t="n"/>
      <c r="L146" s="41" t="n"/>
      <c r="M146" s="30">
        <f>IF($J146="","",SUMIFS(機種販売入力!$H$4:$H$503,機種販売入力!$C$4:$C$503,$J146,機種販売入力!$B$4:$B$503,"YM"))</f>
        <v/>
      </c>
      <c r="N146" s="30">
        <f>IF($J146="","",N($L146)*M146)</f>
        <v/>
      </c>
      <c r="O146" s="57" t="n"/>
    </row>
    <row r="147">
      <c r="A147" s="41" t="inlineStr">
        <is>
          <t>Android</t>
        </is>
      </c>
      <c r="B147" s="40" t="inlineStr">
        <is>
          <t>Xiaomi 13T Pro</t>
        </is>
      </c>
      <c r="C147" s="41" t="inlineStr">
        <is>
          <t>M</t>
        </is>
      </c>
      <c r="D147" s="41" t="n">
        <v>2</v>
      </c>
      <c r="E147" s="30">
        <f>IF($B147="","",SUMIFS(機種販売入力!$H$4:$H$503,機種販売入力!$C$4:$C$503,$B147,機種販売入力!$B$4:$B$503,"&lt;&gt;YM"))</f>
        <v/>
      </c>
      <c r="F147" s="30">
        <f>IF($B147="","",N($D147)*E147)</f>
        <v/>
      </c>
      <c r="G147" s="57" t="n"/>
      <c r="I147" s="41" t="n"/>
      <c r="J147" s="40" t="n"/>
      <c r="K147" s="41" t="n"/>
      <c r="L147" s="41" t="n"/>
      <c r="M147" s="30">
        <f>IF($J147="","",SUMIFS(機種販売入力!$H$4:$H$503,機種販売入力!$C$4:$C$503,$J147,機種販売入力!$B$4:$B$503,"YM"))</f>
        <v/>
      </c>
      <c r="N147" s="30">
        <f>IF($J147="","",N($L147)*M147)</f>
        <v/>
      </c>
      <c r="O147" s="57" t="n"/>
    </row>
    <row r="148">
      <c r="A148" s="41" t="inlineStr">
        <is>
          <t>Android</t>
        </is>
      </c>
      <c r="B148" s="40" t="inlineStr">
        <is>
          <t>REDMI 15 5G</t>
        </is>
      </c>
      <c r="C148" s="41" t="inlineStr">
        <is>
          <t>L</t>
        </is>
      </c>
      <c r="D148" s="41" t="n"/>
      <c r="E148" s="30">
        <f>IF($B148="","",SUMIFS(機種販売入力!$H$4:$H$503,機種販売入力!$C$4:$C$503,$B148,機種販売入力!$B$4:$B$503,"&lt;&gt;YM"))</f>
        <v/>
      </c>
      <c r="F148" s="30">
        <f>IF($B148="","",N($D148)*E148)</f>
        <v/>
      </c>
      <c r="G148" s="57" t="n"/>
      <c r="I148" s="41" t="n"/>
      <c r="J148" s="40" t="n"/>
      <c r="K148" s="41" t="n"/>
      <c r="L148" s="41" t="n"/>
      <c r="M148" s="30">
        <f>IF($J148="","",SUMIFS(機種販売入力!$H$4:$H$503,機種販売入力!$C$4:$C$503,$J148,機種販売入力!$B$4:$B$503,"YM"))</f>
        <v/>
      </c>
      <c r="N148" s="30">
        <f>IF($J148="","",N($L148)*M148)</f>
        <v/>
      </c>
      <c r="O148" s="57" t="n"/>
    </row>
    <row r="149">
      <c r="A149" s="41" t="inlineStr">
        <is>
          <t>Android</t>
        </is>
      </c>
      <c r="B149" s="40" t="inlineStr">
        <is>
          <t>Redmi 12 5G</t>
        </is>
      </c>
      <c r="C149" s="41" t="inlineStr">
        <is>
          <t>L</t>
        </is>
      </c>
      <c r="D149" s="41" t="n"/>
      <c r="E149" s="30">
        <f>IF($B149="","",SUMIFS(機種販売入力!$H$4:$H$503,機種販売入力!$C$4:$C$503,$B149,機種販売入力!$B$4:$B$503,"&lt;&gt;YM"))</f>
        <v/>
      </c>
      <c r="F149" s="30">
        <f>IF($B149="","",N($D149)*E149)</f>
        <v/>
      </c>
      <c r="G149" s="57" t="n"/>
      <c r="I149" s="41" t="n"/>
      <c r="J149" s="40" t="n"/>
      <c r="K149" s="41" t="n"/>
      <c r="L149" s="41" t="n"/>
      <c r="M149" s="30">
        <f>IF($J149="","",SUMIFS(機種販売入力!$H$4:$H$503,機種販売入力!$C$4:$C$503,$J149,機種販売入力!$B$4:$B$503,"YM"))</f>
        <v/>
      </c>
      <c r="N149" s="30">
        <f>IF($J149="","",N($L149)*M149)</f>
        <v/>
      </c>
      <c r="O149" s="57" t="n"/>
    </row>
    <row r="150">
      <c r="A150" s="41" t="inlineStr">
        <is>
          <t>Android</t>
        </is>
      </c>
      <c r="B150" s="40" t="inlineStr">
        <is>
          <t>Redmi Note 10T</t>
        </is>
      </c>
      <c r="C150" s="41" t="inlineStr">
        <is>
          <t>L</t>
        </is>
      </c>
      <c r="D150" s="41" t="n"/>
      <c r="E150" s="30">
        <f>IF($B150="","",SUMIFS(機種販売入力!$H$4:$H$503,機種販売入力!$C$4:$C$503,$B150,機種販売入力!$B$4:$B$503,"&lt;&gt;YM"))</f>
        <v/>
      </c>
      <c r="F150" s="30">
        <f>IF($B150="","",N($D150)*E150)</f>
        <v/>
      </c>
      <c r="G150" s="57" t="n"/>
      <c r="I150" s="41" t="n"/>
      <c r="J150" s="40" t="n"/>
      <c r="K150" s="41" t="n"/>
      <c r="L150" s="41" t="n"/>
      <c r="M150" s="30">
        <f>IF($J150="","",SUMIFS(機種販売入力!$H$4:$H$503,機種販売入力!$C$4:$C$503,$J150,機種販売入力!$B$4:$B$503,"YM"))</f>
        <v/>
      </c>
      <c r="N150" s="30">
        <f>IF($J150="","",N($L150)*M150)</f>
        <v/>
      </c>
      <c r="O150" s="57" t="n"/>
    </row>
    <row r="151">
      <c r="A151" s="41" t="inlineStr">
        <is>
          <t>Android</t>
        </is>
      </c>
      <c r="B151" s="40" t="inlineStr">
        <is>
          <t>Redmi Note 9T(64GB)</t>
        </is>
      </c>
      <c r="C151" s="41" t="inlineStr">
        <is>
          <t>L</t>
        </is>
      </c>
      <c r="D151" s="41" t="n"/>
      <c r="E151" s="30">
        <f>IF($B151="","",SUMIFS(機種販売入力!$H$4:$H$503,機種販売入力!$C$4:$C$503,$B151,機種販売入力!$B$4:$B$503,"&lt;&gt;YM"))</f>
        <v/>
      </c>
      <c r="F151" s="30">
        <f>IF($B151="","",N($D151)*E151)</f>
        <v/>
      </c>
      <c r="G151" s="57" t="n"/>
      <c r="I151" s="41" t="n"/>
      <c r="J151" s="40" t="n"/>
      <c r="K151" s="41" t="n"/>
      <c r="L151" s="41" t="n"/>
      <c r="M151" s="30">
        <f>IF($J151="","",SUMIFS(機種販売入力!$H$4:$H$503,機種販売入力!$C$4:$C$503,$J151,機種販売入力!$B$4:$B$503,"YM"))</f>
        <v/>
      </c>
      <c r="N151" s="30">
        <f>IF($J151="","",N($L151)*M151)</f>
        <v/>
      </c>
      <c r="O151" s="57" t="n"/>
    </row>
    <row r="152">
      <c r="A152" s="41" t="inlineStr">
        <is>
          <t>Android</t>
        </is>
      </c>
      <c r="B152" s="40" t="inlineStr">
        <is>
          <t>LEITZ PHONE 3</t>
        </is>
      </c>
      <c r="C152" s="41" t="inlineStr">
        <is>
          <t>H</t>
        </is>
      </c>
      <c r="D152" s="41" t="n">
        <v>2</v>
      </c>
      <c r="E152" s="30">
        <f>IF($B152="","",SUMIFS(機種販売入力!$H$4:$H$503,機種販売入力!$C$4:$C$503,$B152,機種販売入力!$B$4:$B$503,"&lt;&gt;YM"))</f>
        <v/>
      </c>
      <c r="F152" s="30">
        <f>IF($B152="","",N($D152)*E152)</f>
        <v/>
      </c>
      <c r="G152" s="57" t="n"/>
      <c r="I152" s="41" t="n"/>
      <c r="J152" s="40" t="n"/>
      <c r="K152" s="41" t="n"/>
      <c r="L152" s="41" t="n"/>
      <c r="M152" s="30">
        <f>IF($J152="","",SUMIFS(機種販売入力!$H$4:$H$503,機種販売入力!$C$4:$C$503,$J152,機種販売入力!$B$4:$B$503,"YM"))</f>
        <v/>
      </c>
      <c r="N152" s="30">
        <f>IF($J152="","",N($L152)*M152)</f>
        <v/>
      </c>
      <c r="O152" s="57" t="n"/>
    </row>
    <row r="153">
      <c r="A153" s="41" t="inlineStr">
        <is>
          <t>Android</t>
        </is>
      </c>
      <c r="B153" s="40" t="inlineStr">
        <is>
          <t>LEITZ PHONE 2</t>
        </is>
      </c>
      <c r="C153" s="41" t="inlineStr">
        <is>
          <t>H</t>
        </is>
      </c>
      <c r="D153" s="41" t="n">
        <v>2</v>
      </c>
      <c r="E153" s="30">
        <f>IF($B153="","",SUMIFS(機種販売入力!$H$4:$H$503,機種販売入力!$C$4:$C$503,$B153,機種販売入力!$B$4:$B$503,"&lt;&gt;YM"))</f>
        <v/>
      </c>
      <c r="F153" s="30">
        <f>IF($B153="","",N($D153)*E153)</f>
        <v/>
      </c>
      <c r="G153" s="57" t="n"/>
      <c r="I153" s="41" t="n"/>
      <c r="J153" s="40" t="n"/>
      <c r="K153" s="41" t="n"/>
      <c r="L153" s="41" t="n"/>
      <c r="M153" s="30">
        <f>IF($J153="","",SUMIFS(機種販売入力!$H$4:$H$503,機種販売入力!$C$4:$C$503,$J153,機種販売入力!$B$4:$B$503,"YM"))</f>
        <v/>
      </c>
      <c r="N153" s="30">
        <f>IF($J153="","",N($L153)*M153)</f>
        <v/>
      </c>
      <c r="O153" s="57" t="n"/>
    </row>
    <row r="154">
      <c r="A154" s="41" t="inlineStr">
        <is>
          <t>Android</t>
        </is>
      </c>
      <c r="B154" s="40" t="inlineStr">
        <is>
          <t>moto g37</t>
        </is>
      </c>
      <c r="C154" s="41" t="inlineStr">
        <is>
          <t>L</t>
        </is>
      </c>
      <c r="D154" s="41" t="n"/>
      <c r="E154" s="30">
        <f>IF($B154="","",SUMIFS(機種販売入力!$H$4:$H$503,機種販売入力!$C$4:$C$503,$B154,機種販売入力!$B$4:$B$503,"&lt;&gt;YM"))</f>
        <v/>
      </c>
      <c r="F154" s="30">
        <f>IF($B154="","",N($D154)*E154)</f>
        <v/>
      </c>
      <c r="G154" s="57" t="n"/>
      <c r="I154" s="41" t="n"/>
      <c r="J154" s="40" t="n"/>
      <c r="K154" s="41" t="n"/>
      <c r="L154" s="41" t="n"/>
      <c r="M154" s="30">
        <f>IF($J154="","",SUMIFS(機種販売入力!$H$4:$H$503,機種販売入力!$C$4:$C$503,$J154,機種販売入力!$B$4:$B$503,"YM"))</f>
        <v/>
      </c>
      <c r="N154" s="30">
        <f>IF($J154="","",N($L154)*M154)</f>
        <v/>
      </c>
      <c r="O154" s="57" t="n"/>
    </row>
    <row r="155">
      <c r="A155" s="41" t="inlineStr">
        <is>
          <t>Android</t>
        </is>
      </c>
      <c r="B155" s="40" t="inlineStr">
        <is>
          <t>motorola edge 60s pro</t>
        </is>
      </c>
      <c r="C155" s="41" t="inlineStr">
        <is>
          <t>M</t>
        </is>
      </c>
      <c r="D155" s="41" t="n">
        <v>4</v>
      </c>
      <c r="E155" s="30">
        <f>IF($B155="","",SUMIFS(機種販売入力!$H$4:$H$503,機種販売入力!$C$4:$C$503,$B155,機種販売入力!$B$4:$B$503,"&lt;&gt;YM"))</f>
        <v/>
      </c>
      <c r="F155" s="30">
        <f>IF($B155="","",N($D155)*E155)</f>
        <v/>
      </c>
      <c r="G155" s="57" t="n"/>
      <c r="I155" s="41" t="n"/>
      <c r="J155" s="40" t="n"/>
      <c r="K155" s="41" t="n"/>
      <c r="L155" s="41" t="n"/>
      <c r="M155" s="30">
        <f>IF($J155="","",SUMIFS(機種販売入力!$H$4:$H$503,機種販売入力!$C$4:$C$503,$J155,機種販売入力!$B$4:$B$503,"YM"))</f>
        <v/>
      </c>
      <c r="N155" s="30">
        <f>IF($J155="","",N($L155)*M155)</f>
        <v/>
      </c>
      <c r="O155" s="57" t="n"/>
    </row>
    <row r="156">
      <c r="A156" s="41" t="inlineStr">
        <is>
          <t>Android</t>
        </is>
      </c>
      <c r="B156" s="40" t="inlineStr">
        <is>
          <t>motorola razr 50 ultra</t>
        </is>
      </c>
      <c r="C156" s="41" t="inlineStr">
        <is>
          <t>M</t>
        </is>
      </c>
      <c r="D156" s="41" t="n">
        <v>4</v>
      </c>
      <c r="E156" s="30">
        <f>IF($B156="","",SUMIFS(機種販売入力!$H$4:$H$503,機種販売入力!$C$4:$C$503,$B156,機種販売入力!$B$4:$B$503,"&lt;&gt;YM"))</f>
        <v/>
      </c>
      <c r="F156" s="30">
        <f>IF($B156="","",N($D156)*E156)</f>
        <v/>
      </c>
      <c r="G156" s="57" t="n"/>
      <c r="I156" s="41" t="n"/>
      <c r="J156" s="40" t="n"/>
      <c r="K156" s="41" t="n"/>
      <c r="L156" s="41" t="n"/>
      <c r="M156" s="30">
        <f>IF($J156="","",SUMIFS(機種販売入力!$H$4:$H$503,機種販売入力!$C$4:$C$503,$J156,機種販売入力!$B$4:$B$503,"YM"))</f>
        <v/>
      </c>
      <c r="N156" s="30">
        <f>IF($J156="","",N($L156)*M156)</f>
        <v/>
      </c>
      <c r="O156" s="57" t="n"/>
    </row>
    <row r="157">
      <c r="A157" s="41" t="inlineStr">
        <is>
          <t>Android</t>
        </is>
      </c>
      <c r="B157" s="40" t="inlineStr">
        <is>
          <t>motorola razr 60s</t>
        </is>
      </c>
      <c r="C157" s="41" t="inlineStr">
        <is>
          <t>M</t>
        </is>
      </c>
      <c r="D157" s="41" t="n">
        <v>4</v>
      </c>
      <c r="E157" s="30">
        <f>IF($B157="","",SUMIFS(機種販売入力!$H$4:$H$503,機種販売入力!$C$4:$C$503,$B157,機種販売入力!$B$4:$B$503,"&lt;&gt;YM"))</f>
        <v/>
      </c>
      <c r="F157" s="30">
        <f>IF($B157="","",N($D157)*E157)</f>
        <v/>
      </c>
      <c r="G157" s="57" t="n"/>
      <c r="I157" s="41" t="n"/>
      <c r="J157" s="40" t="n"/>
      <c r="K157" s="41" t="n"/>
      <c r="L157" s="41" t="n"/>
      <c r="M157" s="30">
        <f>IF($J157="","",SUMIFS(機種販売入力!$H$4:$H$503,機種販売入力!$C$4:$C$503,$J157,機種販売入力!$B$4:$B$503,"YM"))</f>
        <v/>
      </c>
      <c r="N157" s="30">
        <f>IF($J157="","",N($L157)*M157)</f>
        <v/>
      </c>
      <c r="O157" s="57" t="n"/>
    </row>
    <row r="158">
      <c r="A158" s="41" t="inlineStr">
        <is>
          <t>Android</t>
        </is>
      </c>
      <c r="B158" s="40" t="inlineStr">
        <is>
          <t>motorola razr 50s</t>
        </is>
      </c>
      <c r="C158" s="41" t="inlineStr">
        <is>
          <t>M</t>
        </is>
      </c>
      <c r="D158" s="41" t="n">
        <v>4</v>
      </c>
      <c r="E158" s="30">
        <f>IF($B158="","",SUMIFS(機種販売入力!$H$4:$H$503,機種販売入力!$C$4:$C$503,$B158,機種販売入力!$B$4:$B$503,"&lt;&gt;YM"))</f>
        <v/>
      </c>
      <c r="F158" s="30">
        <f>IF($B158="","",N($D158)*E158)</f>
        <v/>
      </c>
      <c r="G158" s="57" t="n"/>
      <c r="I158" s="41" t="n"/>
      <c r="J158" s="40" t="n"/>
      <c r="K158" s="41" t="n"/>
      <c r="L158" s="41" t="n"/>
      <c r="M158" s="30">
        <f>IF($J158="","",SUMIFS(機種販売入力!$H$4:$H$503,機種販売入力!$C$4:$C$503,$J158,機種販売入力!$B$4:$B$503,"YM"))</f>
        <v/>
      </c>
      <c r="N158" s="30">
        <f>IF($J158="","",N($L158)*M158)</f>
        <v/>
      </c>
      <c r="O158" s="57" t="n"/>
    </row>
    <row r="159">
      <c r="A159" s="41" t="inlineStr">
        <is>
          <t>Android</t>
        </is>
      </c>
      <c r="B159" s="40" t="inlineStr">
        <is>
          <t>motorola edge 50s pro</t>
        </is>
      </c>
      <c r="C159" s="41" t="inlineStr">
        <is>
          <t>L</t>
        </is>
      </c>
      <c r="D159" s="41" t="n">
        <v>4</v>
      </c>
      <c r="E159" s="30">
        <f>IF($B159="","",SUMIFS(機種販売入力!$H$4:$H$503,機種販売入力!$C$4:$C$503,$B159,機種販売入力!$B$4:$B$503,"&lt;&gt;YM"))</f>
        <v/>
      </c>
      <c r="F159" s="30">
        <f>IF($B159="","",N($D159)*E159)</f>
        <v/>
      </c>
      <c r="G159" s="57" t="n"/>
      <c r="I159" s="41" t="n"/>
      <c r="J159" s="40" t="n"/>
      <c r="K159" s="41" t="n"/>
      <c r="L159" s="41" t="n"/>
      <c r="M159" s="30">
        <f>IF($J159="","",SUMIFS(機種販売入力!$H$4:$H$503,機種販売入力!$C$4:$C$503,$J159,機種販売入力!$B$4:$B$503,"YM"))</f>
        <v/>
      </c>
      <c r="N159" s="30">
        <f>IF($J159="","",N($L159)*M159)</f>
        <v/>
      </c>
      <c r="O159" s="57" t="n"/>
    </row>
    <row r="160">
      <c r="A160" s="41" t="inlineStr">
        <is>
          <t>Android</t>
        </is>
      </c>
      <c r="B160" s="40" t="inlineStr">
        <is>
          <t>motorola razr 40s</t>
        </is>
      </c>
      <c r="C160" s="41" t="inlineStr">
        <is>
          <t>M</t>
        </is>
      </c>
      <c r="D160" s="41" t="n">
        <v>4</v>
      </c>
      <c r="E160" s="30">
        <f>IF($B160="","",SUMIFS(機種販売入力!$H$4:$H$503,機種販売入力!$C$4:$C$503,$B160,機種販売入力!$B$4:$B$503,"&lt;&gt;YM"))</f>
        <v/>
      </c>
      <c r="F160" s="30">
        <f>IF($B160="","",N($D160)*E160)</f>
        <v/>
      </c>
      <c r="G160" s="57" t="n"/>
      <c r="I160" s="41" t="n"/>
      <c r="J160" s="40" t="n"/>
      <c r="K160" s="41" t="n"/>
      <c r="L160" s="41" t="n"/>
      <c r="M160" s="30">
        <f>IF($J160="","",SUMIFS(機種販売入力!$H$4:$H$503,機種販売入力!$C$4:$C$503,$J160,機種販売入力!$B$4:$B$503,"YM"))</f>
        <v/>
      </c>
      <c r="N160" s="30">
        <f>IF($J160="","",N($L160)*M160)</f>
        <v/>
      </c>
      <c r="O160" s="57" t="n"/>
    </row>
    <row r="161">
      <c r="A161" s="41" t="inlineStr">
        <is>
          <t>Android</t>
        </is>
      </c>
      <c r="B161" s="40" t="inlineStr">
        <is>
          <t>Samsung Galaxy A57 5G</t>
        </is>
      </c>
      <c r="C161" s="41" t="inlineStr">
        <is>
          <t>M</t>
        </is>
      </c>
      <c r="D161" s="41" t="n">
        <v>4</v>
      </c>
      <c r="E161" s="30">
        <f>IF($B161="","",SUMIFS(機種販売入力!$H$4:$H$503,機種販売入力!$C$4:$C$503,$B161,機種販売入力!$B$4:$B$503,"&lt;&gt;YM"))</f>
        <v/>
      </c>
      <c r="F161" s="30">
        <f>IF($B161="","",N($D161)*E161)</f>
        <v/>
      </c>
      <c r="G161" s="57" t="n"/>
      <c r="I161" s="41" t="n"/>
      <c r="J161" s="40" t="n"/>
      <c r="K161" s="41" t="n"/>
      <c r="L161" s="41" t="n"/>
      <c r="M161" s="30">
        <f>IF($J161="","",SUMIFS(機種販売入力!$H$4:$H$503,機種販売入力!$C$4:$C$503,$J161,機種販売入力!$B$4:$B$503,"YM"))</f>
        <v/>
      </c>
      <c r="N161" s="30">
        <f>IF($J161="","",N($L161)*M161)</f>
        <v/>
      </c>
      <c r="O161" s="57" t="n"/>
    </row>
    <row r="162">
      <c r="A162" s="41" t="inlineStr">
        <is>
          <t>Android</t>
        </is>
      </c>
      <c r="B162" s="40" t="inlineStr">
        <is>
          <t>Samsung Galaxy Z Fold8 Ultra(256GB)</t>
        </is>
      </c>
      <c r="C162" s="41" t="inlineStr">
        <is>
          <t>H</t>
        </is>
      </c>
      <c r="D162" s="41" t="n">
        <v>4</v>
      </c>
      <c r="E162" s="30">
        <f>IF($B162="","",SUMIFS(機種販売入力!$H$4:$H$503,機種販売入力!$C$4:$C$503,$B162,機種販売入力!$B$4:$B$503,"&lt;&gt;YM"))</f>
        <v/>
      </c>
      <c r="F162" s="30">
        <f>IF($B162="","",N($D162)*E162)</f>
        <v/>
      </c>
      <c r="G162" s="57" t="n"/>
      <c r="I162" s="41" t="n"/>
      <c r="J162" s="40" t="n"/>
      <c r="K162" s="41" t="n"/>
      <c r="L162" s="41" t="n"/>
      <c r="M162" s="30">
        <f>IF($J162="","",SUMIFS(機種販売入力!$H$4:$H$503,機種販売入力!$C$4:$C$503,$J162,機種販売入力!$B$4:$B$503,"YM"))</f>
        <v/>
      </c>
      <c r="N162" s="30">
        <f>IF($J162="","",N($L162)*M162)</f>
        <v/>
      </c>
      <c r="O162" s="57" t="n"/>
    </row>
    <row r="163">
      <c r="A163" s="41" t="inlineStr">
        <is>
          <t>Android</t>
        </is>
      </c>
      <c r="B163" s="40" t="inlineStr">
        <is>
          <t>Samsung Galaxy Z Fold8 Ultra(512GB)</t>
        </is>
      </c>
      <c r="C163" s="41" t="inlineStr">
        <is>
          <t>H</t>
        </is>
      </c>
      <c r="D163" s="41" t="n">
        <v>4</v>
      </c>
      <c r="E163" s="30">
        <f>IF($B163="","",SUMIFS(機種販売入力!$H$4:$H$503,機種販売入力!$C$4:$C$503,$B163,機種販売入力!$B$4:$B$503,"&lt;&gt;YM"))</f>
        <v/>
      </c>
      <c r="F163" s="30">
        <f>IF($B163="","",N($D163)*E163)</f>
        <v/>
      </c>
      <c r="G163" s="57" t="n"/>
      <c r="I163" s="41" t="n"/>
      <c r="J163" s="40" t="n"/>
      <c r="K163" s="41" t="n"/>
      <c r="L163" s="41" t="n"/>
      <c r="M163" s="30">
        <f>IF($J163="","",SUMIFS(機種販売入力!$H$4:$H$503,機種販売入力!$C$4:$C$503,$J163,機種販売入力!$B$4:$B$503,"YM"))</f>
        <v/>
      </c>
      <c r="N163" s="30">
        <f>IF($J163="","",N($L163)*M163)</f>
        <v/>
      </c>
      <c r="O163" s="57" t="n"/>
    </row>
    <row r="164">
      <c r="A164" s="41" t="inlineStr">
        <is>
          <t>Android</t>
        </is>
      </c>
      <c r="B164" s="40" t="inlineStr">
        <is>
          <t>Samsung Galaxy Z Fold8 Ultra(1T)</t>
        </is>
      </c>
      <c r="C164" s="41" t="inlineStr">
        <is>
          <t>H</t>
        </is>
      </c>
      <c r="D164" s="41" t="n">
        <v>4</v>
      </c>
      <c r="E164" s="30">
        <f>IF($B164="","",SUMIFS(機種販売入力!$H$4:$H$503,機種販売入力!$C$4:$C$503,$B164,機種販売入力!$B$4:$B$503,"&lt;&gt;YM"))</f>
        <v/>
      </c>
      <c r="F164" s="30">
        <f>IF($B164="","",N($D164)*E164)</f>
        <v/>
      </c>
      <c r="G164" s="57" t="n"/>
      <c r="I164" s="41" t="n"/>
      <c r="J164" s="40" t="n"/>
      <c r="K164" s="41" t="n"/>
      <c r="L164" s="41" t="n"/>
      <c r="M164" s="30">
        <f>IF($J164="","",SUMIFS(機種販売入力!$H$4:$H$503,機種販売入力!$C$4:$C$503,$J164,機種販売入力!$B$4:$B$503,"YM"))</f>
        <v/>
      </c>
      <c r="N164" s="30">
        <f>IF($J164="","",N($L164)*M164)</f>
        <v/>
      </c>
      <c r="O164" s="57" t="n"/>
    </row>
    <row r="165">
      <c r="A165" s="41" t="inlineStr">
        <is>
          <t>Android</t>
        </is>
      </c>
      <c r="B165" s="40" t="inlineStr">
        <is>
          <t>Samsung Galaxy Z Fold8</t>
        </is>
      </c>
      <c r="C165" s="41" t="inlineStr">
        <is>
          <t>H</t>
        </is>
      </c>
      <c r="D165" s="41" t="n">
        <v>4</v>
      </c>
      <c r="E165" s="30">
        <f>IF($B165="","",SUMIFS(機種販売入力!$H$4:$H$503,機種販売入力!$C$4:$C$503,$B165,機種販売入力!$B$4:$B$503,"&lt;&gt;YM"))</f>
        <v/>
      </c>
      <c r="F165" s="30">
        <f>IF($B165="","",N($D165)*E165)</f>
        <v/>
      </c>
      <c r="G165" s="57" t="n"/>
      <c r="I165" s="41" t="n"/>
      <c r="J165" s="40" t="n"/>
      <c r="K165" s="41" t="n"/>
      <c r="L165" s="41" t="n"/>
      <c r="M165" s="30">
        <f>IF($J165="","",SUMIFS(機種販売入力!$H$4:$H$503,機種販売入力!$C$4:$C$503,$J165,機種販売入力!$B$4:$B$503,"YM"))</f>
        <v/>
      </c>
      <c r="N165" s="30">
        <f>IF($J165="","",N($L165)*M165)</f>
        <v/>
      </c>
      <c r="O165" s="57" t="n"/>
    </row>
    <row r="166">
      <c r="A166" s="41" t="inlineStr">
        <is>
          <t>Android</t>
        </is>
      </c>
      <c r="B166" s="40" t="inlineStr">
        <is>
          <t>Samsung Galaxy Z Flip8</t>
        </is>
      </c>
      <c r="C166" s="41" t="inlineStr">
        <is>
          <t>H</t>
        </is>
      </c>
      <c r="D166" s="41" t="n">
        <v>4</v>
      </c>
      <c r="E166" s="30">
        <f>IF($B166="","",SUMIFS(機種販売入力!$H$4:$H$503,機種販売入力!$C$4:$C$503,$B166,機種販売入力!$B$4:$B$503,"&lt;&gt;YM"))</f>
        <v/>
      </c>
      <c r="F166" s="30">
        <f>IF($B166="","",N($D166)*E166)</f>
        <v/>
      </c>
      <c r="G166" s="57" t="n"/>
      <c r="I166" s="41" t="n"/>
      <c r="J166" s="40" t="n"/>
      <c r="K166" s="41" t="n"/>
      <c r="L166" s="41" t="n"/>
      <c r="M166" s="30">
        <f>IF($J166="","",SUMIFS(機種販売入力!$H$4:$H$503,機種販売入力!$C$4:$C$503,$J166,機種販売入力!$B$4:$B$503,"YM"))</f>
        <v/>
      </c>
      <c r="N166" s="30">
        <f>IF($J166="","",N($L166)*M166)</f>
        <v/>
      </c>
      <c r="O166" s="57" t="n"/>
    </row>
    <row r="167">
      <c r="A167" s="41" t="inlineStr">
        <is>
          <t>Android</t>
        </is>
      </c>
      <c r="B167" s="40" t="inlineStr">
        <is>
          <t>Samsung Galaxy S26(256GB)</t>
        </is>
      </c>
      <c r="C167" s="41" t="inlineStr">
        <is>
          <t>H</t>
        </is>
      </c>
      <c r="D167" s="41" t="n">
        <v>4</v>
      </c>
      <c r="E167" s="30">
        <f>IF($B167="","",SUMIFS(機種販売入力!$H$4:$H$503,機種販売入力!$C$4:$C$503,$B167,機種販売入力!$B$4:$B$503,"&lt;&gt;YM"))</f>
        <v/>
      </c>
      <c r="F167" s="30">
        <f>IF($B167="","",N($D167)*E167)</f>
        <v/>
      </c>
      <c r="G167" s="57" t="n"/>
      <c r="I167" s="41" t="n"/>
      <c r="J167" s="40" t="n"/>
      <c r="K167" s="41" t="n"/>
      <c r="L167" s="41" t="n"/>
      <c r="M167" s="30">
        <f>IF($J167="","",SUMIFS(機種販売入力!$H$4:$H$503,機種販売入力!$C$4:$C$503,$J167,機種販売入力!$B$4:$B$503,"YM"))</f>
        <v/>
      </c>
      <c r="N167" s="30">
        <f>IF($J167="","",N($L167)*M167)</f>
        <v/>
      </c>
      <c r="O167" s="57" t="n"/>
    </row>
    <row r="168">
      <c r="A168" s="41" t="inlineStr">
        <is>
          <t>Android</t>
        </is>
      </c>
      <c r="B168" s="40" t="inlineStr">
        <is>
          <t>Samsung Galaxy S26(512GB)</t>
        </is>
      </c>
      <c r="C168" s="41" t="inlineStr">
        <is>
          <t>H</t>
        </is>
      </c>
      <c r="D168" s="41" t="n">
        <v>4</v>
      </c>
      <c r="E168" s="30">
        <f>IF($B168="","",SUMIFS(機種販売入力!$H$4:$H$503,機種販売入力!$C$4:$C$503,$B168,機種販売入力!$B$4:$B$503,"&lt;&gt;YM"))</f>
        <v/>
      </c>
      <c r="F168" s="30">
        <f>IF($B168="","",N($D168)*E168)</f>
        <v/>
      </c>
      <c r="G168" s="57" t="n"/>
      <c r="I168" s="41" t="n"/>
      <c r="J168" s="40" t="n"/>
      <c r="K168" s="41" t="n"/>
      <c r="L168" s="41" t="n"/>
      <c r="M168" s="30">
        <f>IF($J168="","",SUMIFS(機種販売入力!$H$4:$H$503,機種販売入力!$C$4:$C$503,$J168,機種販売入力!$B$4:$B$503,"YM"))</f>
        <v/>
      </c>
      <c r="N168" s="30">
        <f>IF($J168="","",N($L168)*M168)</f>
        <v/>
      </c>
      <c r="O168" s="57" t="n"/>
    </row>
    <row r="169">
      <c r="A169" s="41" t="inlineStr">
        <is>
          <t>Android</t>
        </is>
      </c>
      <c r="B169" s="40" t="inlineStr">
        <is>
          <t>Samsung Galaxy S26+(256GB)</t>
        </is>
      </c>
      <c r="C169" s="41" t="inlineStr">
        <is>
          <t>H</t>
        </is>
      </c>
      <c r="D169" s="41" t="n">
        <v>4</v>
      </c>
      <c r="E169" s="30">
        <f>IF($B169="","",SUMIFS(機種販売入力!$H$4:$H$503,機種販売入力!$C$4:$C$503,$B169,機種販売入力!$B$4:$B$503,"&lt;&gt;YM"))</f>
        <v/>
      </c>
      <c r="F169" s="30">
        <f>IF($B169="","",N($D169)*E169)</f>
        <v/>
      </c>
      <c r="G169" s="57" t="n"/>
      <c r="I169" s="41" t="n"/>
      <c r="J169" s="40" t="n"/>
      <c r="K169" s="41" t="n"/>
      <c r="L169" s="41" t="n"/>
      <c r="M169" s="30">
        <f>IF($J169="","",SUMIFS(機種販売入力!$H$4:$H$503,機種販売入力!$C$4:$C$503,$J169,機種販売入力!$B$4:$B$503,"YM"))</f>
        <v/>
      </c>
      <c r="N169" s="30">
        <f>IF($J169="","",N($L169)*M169)</f>
        <v/>
      </c>
      <c r="O169" s="57" t="n"/>
    </row>
    <row r="170">
      <c r="A170" s="41" t="inlineStr">
        <is>
          <t>Android</t>
        </is>
      </c>
      <c r="B170" s="40" t="inlineStr">
        <is>
          <t>Samsung Galaxy S26+(512GB)</t>
        </is>
      </c>
      <c r="C170" s="41" t="inlineStr">
        <is>
          <t>H</t>
        </is>
      </c>
      <c r="D170" s="41" t="n">
        <v>4</v>
      </c>
      <c r="E170" s="30">
        <f>IF($B170="","",SUMIFS(機種販売入力!$H$4:$H$503,機種販売入力!$C$4:$C$503,$B170,機種販売入力!$B$4:$B$503,"&lt;&gt;YM"))</f>
        <v/>
      </c>
      <c r="F170" s="30">
        <f>IF($B170="","",N($D170)*E170)</f>
        <v/>
      </c>
      <c r="G170" s="57" t="n"/>
      <c r="I170" s="41" t="n"/>
      <c r="J170" s="40" t="n"/>
      <c r="K170" s="41" t="n"/>
      <c r="L170" s="41" t="n"/>
      <c r="M170" s="30">
        <f>IF($J170="","",SUMIFS(機種販売入力!$H$4:$H$503,機種販売入力!$C$4:$C$503,$J170,機種販売入力!$B$4:$B$503,"YM"))</f>
        <v/>
      </c>
      <c r="N170" s="30">
        <f>IF($J170="","",N($L170)*M170)</f>
        <v/>
      </c>
      <c r="O170" s="57" t="n"/>
    </row>
    <row r="171">
      <c r="A171" s="41" t="inlineStr">
        <is>
          <t>Android</t>
        </is>
      </c>
      <c r="B171" s="40" t="inlineStr">
        <is>
          <t>Samsung Galaxy S26 Ultra(256GB)</t>
        </is>
      </c>
      <c r="C171" s="41" t="inlineStr">
        <is>
          <t>H</t>
        </is>
      </c>
      <c r="D171" s="41" t="n">
        <v>4</v>
      </c>
      <c r="E171" s="30">
        <f>IF($B171="","",SUMIFS(機種販売入力!$H$4:$H$503,機種販売入力!$C$4:$C$503,$B171,機種販売入力!$B$4:$B$503,"&lt;&gt;YM"))</f>
        <v/>
      </c>
      <c r="F171" s="30">
        <f>IF($B171="","",N($D171)*E171)</f>
        <v/>
      </c>
      <c r="G171" s="57" t="n"/>
      <c r="I171" s="41" t="n"/>
      <c r="J171" s="40" t="n"/>
      <c r="K171" s="41" t="n"/>
      <c r="L171" s="41" t="n"/>
      <c r="M171" s="30">
        <f>IF($J171="","",SUMIFS(機種販売入力!$H$4:$H$503,機種販売入力!$C$4:$C$503,$J171,機種販売入力!$B$4:$B$503,"YM"))</f>
        <v/>
      </c>
      <c r="N171" s="30">
        <f>IF($J171="","",N($L171)*M171)</f>
        <v/>
      </c>
      <c r="O171" s="57" t="n"/>
    </row>
    <row r="172">
      <c r="A172" s="41" t="inlineStr">
        <is>
          <t>Android</t>
        </is>
      </c>
      <c r="B172" s="40" t="inlineStr">
        <is>
          <t>Samsung Galaxy S26 Ultra(512GB)</t>
        </is>
      </c>
      <c r="C172" s="41" t="inlineStr">
        <is>
          <t>H</t>
        </is>
      </c>
      <c r="D172" s="41" t="n">
        <v>4</v>
      </c>
      <c r="E172" s="30">
        <f>IF($B172="","",SUMIFS(機種販売入力!$H$4:$H$503,機種販売入力!$C$4:$C$503,$B172,機種販売入力!$B$4:$B$503,"&lt;&gt;YM"))</f>
        <v/>
      </c>
      <c r="F172" s="30">
        <f>IF($B172="","",N($D172)*E172)</f>
        <v/>
      </c>
      <c r="G172" s="57" t="n"/>
      <c r="I172" s="41" t="n"/>
      <c r="J172" s="40" t="n"/>
      <c r="K172" s="41" t="n"/>
      <c r="L172" s="41" t="n"/>
      <c r="M172" s="30">
        <f>IF($J172="","",SUMIFS(機種販売入力!$H$4:$H$503,機種販売入力!$C$4:$C$503,$J172,機種販売入力!$B$4:$B$503,"YM"))</f>
        <v/>
      </c>
      <c r="N172" s="30">
        <f>IF($J172="","",N($L172)*M172)</f>
        <v/>
      </c>
      <c r="O172" s="57" t="n"/>
    </row>
    <row r="173">
      <c r="A173" s="41" t="inlineStr">
        <is>
          <t>Android</t>
        </is>
      </c>
      <c r="B173" s="40" t="inlineStr">
        <is>
          <t>Galaxy Z Fold7</t>
        </is>
      </c>
      <c r="C173" s="41" t="inlineStr">
        <is>
          <t>H</t>
        </is>
      </c>
      <c r="D173" s="41" t="n">
        <v>4</v>
      </c>
      <c r="E173" s="30">
        <f>IF($B173="","",SUMIFS(機種販売入力!$H$4:$H$503,機種販売入力!$C$4:$C$503,$B173,機種販売入力!$B$4:$B$503,"&lt;&gt;YM"))</f>
        <v/>
      </c>
      <c r="F173" s="30">
        <f>IF($B173="","",N($D173)*E173)</f>
        <v/>
      </c>
      <c r="G173" s="57" t="n"/>
      <c r="I173" s="41" t="n"/>
      <c r="J173" s="40" t="n"/>
      <c r="K173" s="41" t="n"/>
      <c r="L173" s="41" t="n"/>
      <c r="M173" s="30">
        <f>IF($J173="","",SUMIFS(機種販売入力!$H$4:$H$503,機種販売入力!$C$4:$C$503,$J173,機種販売入力!$B$4:$B$503,"YM"))</f>
        <v/>
      </c>
      <c r="N173" s="30">
        <f>IF($J173="","",N($L173)*M173)</f>
        <v/>
      </c>
      <c r="O173" s="57" t="n"/>
    </row>
    <row r="174">
      <c r="A174" s="41" t="inlineStr">
        <is>
          <t>Android</t>
        </is>
      </c>
      <c r="B174" s="40" t="inlineStr">
        <is>
          <t>Galaxy Z Flip7</t>
        </is>
      </c>
      <c r="C174" s="41" t="inlineStr">
        <is>
          <t>H</t>
        </is>
      </c>
      <c r="D174" s="41" t="n">
        <v>4</v>
      </c>
      <c r="E174" s="30">
        <f>IF($B174="","",SUMIFS(機種販売入力!$H$4:$H$503,機種販売入力!$C$4:$C$503,$B174,機種販売入力!$B$4:$B$503,"&lt;&gt;YM"))</f>
        <v/>
      </c>
      <c r="F174" s="30">
        <f>IF($B174="","",N($D174)*E174)</f>
        <v/>
      </c>
      <c r="G174" s="57" t="n"/>
      <c r="I174" s="41" t="n"/>
      <c r="J174" s="40" t="n"/>
      <c r="K174" s="41" t="n"/>
      <c r="L174" s="41" t="n"/>
      <c r="M174" s="30">
        <f>IF($J174="","",SUMIFS(機種販売入力!$H$4:$H$503,機種販売入力!$C$4:$C$503,$J174,機種販売入力!$B$4:$B$503,"YM"))</f>
        <v/>
      </c>
      <c r="N174" s="30">
        <f>IF($J174="","",N($L174)*M174)</f>
        <v/>
      </c>
      <c r="O174" s="57" t="n"/>
    </row>
    <row r="175">
      <c r="A175" s="41" t="inlineStr">
        <is>
          <t>Android</t>
        </is>
      </c>
      <c r="B175" s="40" t="inlineStr">
        <is>
          <t>Galaxy S25 Ultra(256GB)</t>
        </is>
      </c>
      <c r="C175" s="41" t="inlineStr">
        <is>
          <t>H</t>
        </is>
      </c>
      <c r="D175" s="41" t="n">
        <v>4</v>
      </c>
      <c r="E175" s="30">
        <f>IF($B175="","",SUMIFS(機種販売入力!$H$4:$H$503,機種販売入力!$C$4:$C$503,$B175,機種販売入力!$B$4:$B$503,"&lt;&gt;YM"))</f>
        <v/>
      </c>
      <c r="F175" s="30">
        <f>IF($B175="","",N($D175)*E175)</f>
        <v/>
      </c>
      <c r="G175" s="57" t="n"/>
      <c r="I175" s="41" t="n"/>
      <c r="J175" s="40" t="n"/>
      <c r="K175" s="41" t="n"/>
      <c r="L175" s="41" t="n"/>
      <c r="M175" s="30">
        <f>IF($J175="","",SUMIFS(機種販売入力!$H$4:$H$503,機種販売入力!$C$4:$C$503,$J175,機種販売入力!$B$4:$B$503,"YM"))</f>
        <v/>
      </c>
      <c r="N175" s="30">
        <f>IF($J175="","",N($L175)*M175)</f>
        <v/>
      </c>
      <c r="O175" s="57" t="n"/>
    </row>
    <row r="176">
      <c r="A176" s="41" t="inlineStr">
        <is>
          <t>Android</t>
        </is>
      </c>
      <c r="B176" s="40" t="inlineStr">
        <is>
          <t>Galaxy S25 Ultra(512GB)</t>
        </is>
      </c>
      <c r="C176" s="41" t="inlineStr">
        <is>
          <t>H</t>
        </is>
      </c>
      <c r="D176" s="41" t="n">
        <v>4</v>
      </c>
      <c r="E176" s="30">
        <f>IF($B176="","",SUMIFS(機種販売入力!$H$4:$H$503,機種販売入力!$C$4:$C$503,$B176,機種販売入力!$B$4:$B$503,"&lt;&gt;YM"))</f>
        <v/>
      </c>
      <c r="F176" s="30">
        <f>IF($B176="","",N($D176)*E176)</f>
        <v/>
      </c>
      <c r="G176" s="57" t="n"/>
      <c r="I176" s="41" t="n"/>
      <c r="J176" s="40" t="n"/>
      <c r="K176" s="41" t="n"/>
      <c r="L176" s="41" t="n"/>
      <c r="M176" s="30">
        <f>IF($J176="","",SUMIFS(機種販売入力!$H$4:$H$503,機種販売入力!$C$4:$C$503,$J176,機種販売入力!$B$4:$B$503,"YM"))</f>
        <v/>
      </c>
      <c r="N176" s="30">
        <f>IF($J176="","",N($L176)*M176)</f>
        <v/>
      </c>
      <c r="O176" s="57" t="n"/>
    </row>
    <row r="177">
      <c r="A177" s="41" t="inlineStr">
        <is>
          <t>Android</t>
        </is>
      </c>
      <c r="B177" s="40" t="inlineStr">
        <is>
          <t>Galaxy S25</t>
        </is>
      </c>
      <c r="C177" s="41" t="inlineStr">
        <is>
          <t>H</t>
        </is>
      </c>
      <c r="D177" s="41" t="n">
        <v>4</v>
      </c>
      <c r="E177" s="30">
        <f>IF($B177="","",SUMIFS(機種販売入力!$H$4:$H$503,機種販売入力!$C$4:$C$503,$B177,機種販売入力!$B$4:$B$503,"&lt;&gt;YM"))</f>
        <v/>
      </c>
      <c r="F177" s="30">
        <f>IF($B177="","",N($D177)*E177)</f>
        <v/>
      </c>
      <c r="G177" s="57" t="n"/>
      <c r="I177" s="41" t="n"/>
      <c r="J177" s="40" t="n"/>
      <c r="K177" s="41" t="n"/>
      <c r="L177" s="41" t="n"/>
      <c r="M177" s="30">
        <f>IF($J177="","",SUMIFS(機種販売入力!$H$4:$H$503,機種販売入力!$C$4:$C$503,$J177,機種販売入力!$B$4:$B$503,"YM"))</f>
        <v/>
      </c>
      <c r="N177" s="30">
        <f>IF($J177="","",N($L177)*M177)</f>
        <v/>
      </c>
      <c r="O177" s="57" t="n"/>
    </row>
    <row r="178">
      <c r="A178" s="41" t="inlineStr">
        <is>
          <t>Android</t>
        </is>
      </c>
      <c r="B178" s="40" t="inlineStr">
        <is>
          <t>Galaxy A25 5G</t>
        </is>
      </c>
      <c r="C178" s="41" t="inlineStr">
        <is>
          <t>L</t>
        </is>
      </c>
      <c r="D178" s="41" t="n"/>
      <c r="E178" s="30">
        <f>IF($B178="","",SUMIFS(機種販売入力!$H$4:$H$503,機種販売入力!$C$4:$C$503,$B178,機種販売入力!$B$4:$B$503,"&lt;&gt;YM"))</f>
        <v/>
      </c>
      <c r="F178" s="30">
        <f>IF($B178="","",N($D178)*E178)</f>
        <v/>
      </c>
      <c r="G178" s="57" t="n"/>
      <c r="I178" s="41" t="n"/>
      <c r="J178" s="40" t="n"/>
      <c r="K178" s="41" t="n"/>
      <c r="L178" s="41" t="n"/>
      <c r="M178" s="30">
        <f>IF($J178="","",SUMIFS(機種販売入力!$H$4:$H$503,機種販売入力!$C$4:$C$503,$J178,機種販売入力!$B$4:$B$503,"YM"))</f>
        <v/>
      </c>
      <c r="N178" s="30">
        <f>IF($J178="","",N($L178)*M178)</f>
        <v/>
      </c>
      <c r="O178" s="57" t="n"/>
    </row>
    <row r="179">
      <c r="A179" s="41" t="inlineStr">
        <is>
          <t>Android</t>
        </is>
      </c>
      <c r="B179" s="40" t="inlineStr">
        <is>
          <t>OPPO A55s 5G</t>
        </is>
      </c>
      <c r="C179" s="41" t="inlineStr">
        <is>
          <t>L</t>
        </is>
      </c>
      <c r="D179" s="41" t="n"/>
      <c r="E179" s="30">
        <f>IF($B179="","",SUMIFS(機種販売入力!$H$4:$H$503,機種販売入力!$C$4:$C$503,$B179,機種販売入力!$B$4:$B$503,"&lt;&gt;YM"))</f>
        <v/>
      </c>
      <c r="F179" s="30">
        <f>IF($B179="","",N($D179)*E179)</f>
        <v/>
      </c>
      <c r="G179" s="57" t="n"/>
      <c r="I179" s="41" t="n"/>
      <c r="J179" s="40" t="n"/>
      <c r="K179" s="41" t="n"/>
      <c r="L179" s="41" t="n"/>
      <c r="M179" s="30">
        <f>IF($J179="","",SUMIFS(機種販売入力!$H$4:$H$503,機種販売入力!$C$4:$C$503,$J179,機種販売入力!$B$4:$B$503,"YM"))</f>
        <v/>
      </c>
      <c r="N179" s="30">
        <f>IF($J179="","",N($L179)*M179)</f>
        <v/>
      </c>
      <c r="O179" s="57" t="n"/>
    </row>
    <row r="180">
      <c r="A180" s="41" t="inlineStr">
        <is>
          <t>Android</t>
        </is>
      </c>
      <c r="B180" s="40" t="inlineStr">
        <is>
          <t>OPPO Reno10 Pro 5G</t>
        </is>
      </c>
      <c r="C180" s="41" t="inlineStr">
        <is>
          <t>M</t>
        </is>
      </c>
      <c r="D180" s="41" t="n">
        <v>2</v>
      </c>
      <c r="E180" s="30">
        <f>IF($B180="","",SUMIFS(機種販売入力!$H$4:$H$503,機種販売入力!$C$4:$C$503,$B180,機種販売入力!$B$4:$B$503,"&lt;&gt;YM"))</f>
        <v/>
      </c>
      <c r="F180" s="30">
        <f>IF($B180="","",N($D180)*E180)</f>
        <v/>
      </c>
      <c r="G180" s="57" t="n"/>
      <c r="I180" s="41" t="n"/>
      <c r="J180" s="40" t="n"/>
      <c r="K180" s="41" t="n"/>
      <c r="L180" s="41" t="n"/>
      <c r="M180" s="30">
        <f>IF($J180="","",SUMIFS(機種販売入力!$H$4:$H$503,機種販売入力!$C$4:$C$503,$J180,機種販売入力!$B$4:$B$503,"YM"))</f>
        <v/>
      </c>
      <c r="N180" s="30">
        <f>IF($J180="","",N($L180)*M180)</f>
        <v/>
      </c>
      <c r="O180" s="57" t="n"/>
    </row>
    <row r="181">
      <c r="A181" s="41" t="inlineStr">
        <is>
          <t>Android</t>
        </is>
      </c>
      <c r="B181" s="40" t="inlineStr">
        <is>
          <t>Natural AI Phone</t>
        </is>
      </c>
      <c r="C181" s="41" t="inlineStr">
        <is>
          <t>M</t>
        </is>
      </c>
      <c r="D181" s="41" t="n">
        <v>2</v>
      </c>
      <c r="E181" s="30">
        <f>IF($B181="","",SUMIFS(機種販売入力!$H$4:$H$503,機種販売入力!$C$4:$C$503,$B181,機種販売入力!$B$4:$B$503,"&lt;&gt;YM"))</f>
        <v/>
      </c>
      <c r="F181" s="30">
        <f>IF($B181="","",N($D181)*E181)</f>
        <v/>
      </c>
      <c r="G181" s="57" t="n"/>
      <c r="I181" s="41" t="n"/>
      <c r="J181" s="40" t="n"/>
      <c r="K181" s="41" t="n"/>
      <c r="L181" s="41" t="n"/>
      <c r="M181" s="30">
        <f>IF($J181="","",SUMIFS(機種販売入力!$H$4:$H$503,機種販売入力!$C$4:$C$503,$J181,機種販売入力!$B$4:$B$503,"YM"))</f>
        <v/>
      </c>
      <c r="N181" s="30">
        <f>IF($J181="","",N($L181)*M181)</f>
        <v/>
      </c>
      <c r="O181" s="57" t="n"/>
    </row>
    <row r="182">
      <c r="A182" s="41" t="inlineStr">
        <is>
          <t>Android</t>
        </is>
      </c>
      <c r="B182" s="40" t="inlineStr">
        <is>
          <t>nubia S2e</t>
        </is>
      </c>
      <c r="C182" s="41" t="inlineStr">
        <is>
          <t>L</t>
        </is>
      </c>
      <c r="D182" s="41" t="n"/>
      <c r="E182" s="30">
        <f>IF($B182="","",SUMIFS(機種販売入力!$H$4:$H$503,機種販売入力!$C$4:$C$503,$B182,機種販売入力!$B$4:$B$503,"&lt;&gt;YM"))</f>
        <v/>
      </c>
      <c r="F182" s="30">
        <f>IF($B182="","",N($D182)*E182)</f>
        <v/>
      </c>
      <c r="G182" s="57" t="n"/>
      <c r="I182" s="41" t="n"/>
      <c r="J182" s="40" t="n"/>
      <c r="K182" s="41" t="n"/>
      <c r="L182" s="41" t="n"/>
      <c r="M182" s="30">
        <f>IF($J182="","",SUMIFS(機種販売入力!$H$4:$H$503,機種販売入力!$C$4:$C$503,$J182,機種販売入力!$B$4:$B$503,"YM"))</f>
        <v/>
      </c>
      <c r="N182" s="30">
        <f>IF($J182="","",N($L182)*M182)</f>
        <v/>
      </c>
      <c r="O182" s="57" t="n"/>
    </row>
    <row r="183">
      <c r="A183" s="41" t="inlineStr">
        <is>
          <t>Android</t>
        </is>
      </c>
      <c r="B183" s="40" t="inlineStr">
        <is>
          <t>あんしんファミリースマホ</t>
        </is>
      </c>
      <c r="C183" s="41" t="inlineStr">
        <is>
          <t>L</t>
        </is>
      </c>
      <c r="D183" s="41" t="n"/>
      <c r="E183" s="30">
        <f>IF($B183="","",SUMIFS(機種販売入力!$H$4:$H$503,機種販売入力!$C$4:$C$503,$B183,機種販売入力!$B$4:$B$503,"&lt;&gt;YM"))</f>
        <v/>
      </c>
      <c r="F183" s="30">
        <f>IF($B183="","",N($D183)*E183)</f>
        <v/>
      </c>
      <c r="G183" s="57" t="n"/>
      <c r="I183" s="41" t="n"/>
      <c r="J183" s="40" t="n"/>
      <c r="K183" s="41" t="n"/>
      <c r="L183" s="41" t="n"/>
      <c r="M183" s="30">
        <f>IF($J183="","",SUMIFS(機種販売入力!$H$4:$H$503,機種販売入力!$C$4:$C$503,$J183,機種販売入力!$B$4:$B$503,"YM"))</f>
        <v/>
      </c>
      <c r="N183" s="30">
        <f>IF($J183="","",N($L183)*M183)</f>
        <v/>
      </c>
      <c r="O183" s="57" t="n"/>
    </row>
    <row r="184">
      <c r="A184" s="41" t="inlineStr">
        <is>
          <t>Android</t>
        </is>
      </c>
      <c r="B184" s="40" t="inlineStr">
        <is>
          <t>シンプルスマホ7</t>
        </is>
      </c>
      <c r="C184" s="41" t="inlineStr">
        <is>
          <t>L</t>
        </is>
      </c>
      <c r="D184" s="41" t="n"/>
      <c r="E184" s="30">
        <f>IF($B184="","",SUMIFS(機種販売入力!$H$4:$H$503,機種販売入力!$C$4:$C$503,$B184,機種販売入力!$B$4:$B$503,"&lt;&gt;YM"))</f>
        <v/>
      </c>
      <c r="F184" s="30">
        <f>IF($B184="","",N($D184)*E184)</f>
        <v/>
      </c>
      <c r="G184" s="57" t="n"/>
      <c r="I184" s="41" t="n"/>
      <c r="J184" s="40" t="n"/>
      <c r="K184" s="41" t="n"/>
      <c r="L184" s="41" t="n"/>
      <c r="M184" s="30">
        <f>IF($J184="","",SUMIFS(機種販売入力!$H$4:$H$503,機種販売入力!$C$4:$C$503,$J184,機種販売入力!$B$4:$B$503,"YM"))</f>
        <v/>
      </c>
      <c r="N184" s="30">
        <f>IF($J184="","",N($L184)*M184)</f>
        <v/>
      </c>
      <c r="O184" s="57" t="n"/>
    </row>
    <row r="185">
      <c r="A185" s="41" t="inlineStr">
        <is>
          <t>Android</t>
        </is>
      </c>
      <c r="B185" s="40" t="inlineStr">
        <is>
          <t>シンプルスマホ６</t>
        </is>
      </c>
      <c r="C185" s="41" t="inlineStr">
        <is>
          <t>L</t>
        </is>
      </c>
      <c r="D185" s="41" t="n"/>
      <c r="E185" s="30">
        <f>IF($B185="","",SUMIFS(機種販売入力!$H$4:$H$503,機種販売入力!$C$4:$C$503,$B185,機種販売入力!$B$4:$B$503,"&lt;&gt;YM"))</f>
        <v/>
      </c>
      <c r="F185" s="30">
        <f>IF($B185="","",N($D185)*E185)</f>
        <v/>
      </c>
      <c r="G185" s="57" t="n"/>
      <c r="I185" s="41" t="n"/>
      <c r="J185" s="40" t="n"/>
      <c r="K185" s="41" t="n"/>
      <c r="L185" s="41" t="n"/>
      <c r="M185" s="30">
        <f>IF($J185="","",SUMIFS(機種販売入力!$H$4:$H$503,機種販売入力!$C$4:$C$503,$J185,機種販売入力!$B$4:$B$503,"YM"))</f>
        <v/>
      </c>
      <c r="N185" s="30">
        <f>IF($J185="","",N($L185)*M185)</f>
        <v/>
      </c>
      <c r="O185" s="57" t="n"/>
    </row>
    <row r="186">
      <c r="A186" s="41" t="inlineStr">
        <is>
          <t>ケータイ</t>
        </is>
      </c>
      <c r="B186" s="40" t="inlineStr">
        <is>
          <t>かんたん携帯 11</t>
        </is>
      </c>
      <c r="C186" s="41" t="inlineStr">
        <is>
          <t>L</t>
        </is>
      </c>
      <c r="D186" s="41" t="n"/>
      <c r="E186" s="30">
        <f>IF($B186="","",SUMIFS(機種販売入力!$H$4:$H$503,機種販売入力!$C$4:$C$503,$B186,機種販売入力!$B$4:$B$503,"&lt;&gt;YM"))</f>
        <v/>
      </c>
      <c r="F186" s="30">
        <f>IF($B186="","",N($D186)*E186)</f>
        <v/>
      </c>
      <c r="G186" s="57" t="n"/>
      <c r="I186" s="41" t="n"/>
      <c r="J186" s="40" t="n"/>
      <c r="K186" s="41" t="n"/>
      <c r="L186" s="41" t="n"/>
      <c r="M186" s="30">
        <f>IF($J186="","",SUMIFS(機種販売入力!$H$4:$H$503,機種販売入力!$C$4:$C$503,$J186,機種販売入力!$B$4:$B$503,"YM"))</f>
        <v/>
      </c>
      <c r="N186" s="30">
        <f>IF($J186="","",N($L186)*M186)</f>
        <v/>
      </c>
      <c r="O186" s="57" t="n"/>
    </row>
    <row r="187">
      <c r="A187" s="41" t="inlineStr">
        <is>
          <t>ケータイ</t>
        </is>
      </c>
      <c r="B187" s="40" t="inlineStr">
        <is>
          <t>DIGNOケータイ4</t>
        </is>
      </c>
      <c r="C187" s="41" t="inlineStr">
        <is>
          <t>L</t>
        </is>
      </c>
      <c r="D187" s="41" t="n"/>
      <c r="E187" s="30">
        <f>IF($B187="","",SUMIFS(機種販売入力!$H$4:$H$503,機種販売入力!$C$4:$C$503,$B187,機種販売入力!$B$4:$B$503,"&lt;&gt;YM"))</f>
        <v/>
      </c>
      <c r="F187" s="30">
        <f>IF($B187="","",N($D187)*E187)</f>
        <v/>
      </c>
      <c r="G187" s="57" t="n"/>
      <c r="I187" s="41" t="n"/>
      <c r="J187" s="40" t="n"/>
      <c r="K187" s="41" t="n"/>
      <c r="L187" s="41" t="n"/>
      <c r="M187" s="30">
        <f>IF($J187="","",SUMIFS(機種販売入力!$H$4:$H$503,機種販売入力!$C$4:$C$503,$J187,機種販売入力!$B$4:$B$503,"YM"))</f>
        <v/>
      </c>
      <c r="N187" s="30">
        <f>IF($J187="","",N($L187)*M187)</f>
        <v/>
      </c>
      <c r="O187" s="57" t="n"/>
    </row>
    <row r="188">
      <c r="A188" s="41" t="inlineStr">
        <is>
          <t>ケータイ</t>
        </is>
      </c>
      <c r="B188" s="40" t="inlineStr">
        <is>
          <t>DIGNOケータイ4 for Biz</t>
        </is>
      </c>
      <c r="C188" s="41" t="inlineStr">
        <is>
          <t>L</t>
        </is>
      </c>
      <c r="D188" s="41" t="n"/>
      <c r="E188" s="30">
        <f>IF($B188="","",SUMIFS(機種販売入力!$H$4:$H$503,機種販売入力!$C$4:$C$503,$B188,機種販売入力!$B$4:$B$503,"&lt;&gt;YM"))</f>
        <v/>
      </c>
      <c r="F188" s="30">
        <f>IF($B188="","",N($D188)*E188)</f>
        <v/>
      </c>
      <c r="G188" s="57" t="n"/>
      <c r="I188" s="41" t="n"/>
      <c r="J188" s="40" t="n"/>
      <c r="K188" s="41" t="n"/>
      <c r="L188" s="41" t="n"/>
      <c r="M188" s="30">
        <f>IF($J188="","",SUMIFS(機種販売入力!$H$4:$H$503,機種販売入力!$C$4:$C$503,$J188,機種販売入力!$B$4:$B$503,"YM"))</f>
        <v/>
      </c>
      <c r="N188" s="30">
        <f>IF($J188="","",N($L188)*M188)</f>
        <v/>
      </c>
      <c r="O188" s="57" t="n"/>
    </row>
    <row r="189">
      <c r="A189" s="41" t="inlineStr">
        <is>
          <t>ケータイ</t>
        </is>
      </c>
      <c r="B189" s="40" t="inlineStr">
        <is>
          <t>AQUOSケータイ４</t>
        </is>
      </c>
      <c r="C189" s="41" t="inlineStr">
        <is>
          <t>L</t>
        </is>
      </c>
      <c r="D189" s="41" t="n"/>
      <c r="E189" s="30">
        <f>IF($B189="","",SUMIFS(機種販売入力!$H$4:$H$503,機種販売入力!$C$4:$C$503,$B189,機種販売入力!$B$4:$B$503,"&lt;&gt;YM"))</f>
        <v/>
      </c>
      <c r="F189" s="30">
        <f>IF($B189="","",N($D189)*E189)</f>
        <v/>
      </c>
      <c r="G189" s="57" t="n"/>
      <c r="I189" s="41" t="n"/>
      <c r="J189" s="40" t="n"/>
      <c r="K189" s="41" t="n"/>
      <c r="L189" s="41" t="n"/>
      <c r="M189" s="30">
        <f>IF($J189="","",SUMIFS(機種販売入力!$H$4:$H$503,機種販売入力!$C$4:$C$503,$J189,機種販売入力!$B$4:$B$503,"YM"))</f>
        <v/>
      </c>
      <c r="N189" s="30">
        <f>IF($J189="","",N($L189)*M189)</f>
        <v/>
      </c>
      <c r="O189" s="57" t="n"/>
    </row>
    <row r="190">
      <c r="A190" s="41" t="inlineStr">
        <is>
          <t>iPad</t>
        </is>
      </c>
      <c r="B190" s="40" t="inlineStr">
        <is>
          <t>13インチiPad Pro（M5）Wi-Fi+Cellular(256GB)</t>
        </is>
      </c>
      <c r="C190" s="41" t="inlineStr">
        <is>
          <t>H</t>
        </is>
      </c>
      <c r="D190" s="41" t="n">
        <v>2</v>
      </c>
      <c r="E190" s="30">
        <f>IF($B190="","",SUMIFS(機種販売入力!$H$4:$H$503,機種販売入力!$C$4:$C$503,$B190,機種販売入力!$B$4:$B$503,"&lt;&gt;YM"))</f>
        <v/>
      </c>
      <c r="F190" s="30">
        <f>IF($B190="","",N($D190)*E190)</f>
        <v/>
      </c>
      <c r="G190" s="57" t="n"/>
      <c r="I190" s="41" t="n"/>
      <c r="J190" s="40" t="n"/>
      <c r="K190" s="41" t="n"/>
      <c r="L190" s="41" t="n"/>
      <c r="M190" s="30">
        <f>IF($J190="","",SUMIFS(機種販売入力!$H$4:$H$503,機種販売入力!$C$4:$C$503,$J190,機種販売入力!$B$4:$B$503,"YM"))</f>
        <v/>
      </c>
      <c r="N190" s="30">
        <f>IF($J190="","",N($L190)*M190)</f>
        <v/>
      </c>
      <c r="O190" s="57" t="n"/>
    </row>
    <row r="191">
      <c r="A191" s="41" t="inlineStr">
        <is>
          <t>iPad</t>
        </is>
      </c>
      <c r="B191" s="40" t="inlineStr">
        <is>
          <t>13インチiPad Pro（M5）Wi-Fi+Cellular(512GB)</t>
        </is>
      </c>
      <c r="C191" s="41" t="inlineStr">
        <is>
          <t>H</t>
        </is>
      </c>
      <c r="D191" s="41" t="n">
        <v>2</v>
      </c>
      <c r="E191" s="30">
        <f>IF($B191="","",SUMIFS(機種販売入力!$H$4:$H$503,機種販売入力!$C$4:$C$503,$B191,機種販売入力!$B$4:$B$503,"&lt;&gt;YM"))</f>
        <v/>
      </c>
      <c r="F191" s="30">
        <f>IF($B191="","",N($D191)*E191)</f>
        <v/>
      </c>
      <c r="G191" s="57" t="n"/>
      <c r="I191" s="41" t="n"/>
      <c r="J191" s="40" t="n"/>
      <c r="K191" s="41" t="n"/>
      <c r="L191" s="41" t="n"/>
      <c r="M191" s="30">
        <f>IF($J191="","",SUMIFS(機種販売入力!$H$4:$H$503,機種販売入力!$C$4:$C$503,$J191,機種販売入力!$B$4:$B$503,"YM"))</f>
        <v/>
      </c>
      <c r="N191" s="30">
        <f>IF($J191="","",N($L191)*M191)</f>
        <v/>
      </c>
      <c r="O191" s="57" t="n"/>
    </row>
    <row r="192">
      <c r="A192" s="41" t="inlineStr">
        <is>
          <t>iPad</t>
        </is>
      </c>
      <c r="B192" s="40" t="inlineStr">
        <is>
          <t>13インチiPad Pro（M5）Wi-Fi+Cellular(1TB)</t>
        </is>
      </c>
      <c r="C192" s="41" t="inlineStr">
        <is>
          <t>H</t>
        </is>
      </c>
      <c r="D192" s="41" t="n">
        <v>2</v>
      </c>
      <c r="E192" s="30">
        <f>IF($B192="","",SUMIFS(機種販売入力!$H$4:$H$503,機種販売入力!$C$4:$C$503,$B192,機種販売入力!$B$4:$B$503,"&lt;&gt;YM"))</f>
        <v/>
      </c>
      <c r="F192" s="30">
        <f>IF($B192="","",N($D192)*E192)</f>
        <v/>
      </c>
      <c r="G192" s="57" t="n"/>
      <c r="I192" s="41" t="n"/>
      <c r="J192" s="40" t="n"/>
      <c r="K192" s="41" t="n"/>
      <c r="L192" s="41" t="n"/>
      <c r="M192" s="30">
        <f>IF($J192="","",SUMIFS(機種販売入力!$H$4:$H$503,機種販売入力!$C$4:$C$503,$J192,機種販売入力!$B$4:$B$503,"YM"))</f>
        <v/>
      </c>
      <c r="N192" s="30">
        <f>IF($J192="","",N($L192)*M192)</f>
        <v/>
      </c>
      <c r="O192" s="57" t="n"/>
    </row>
    <row r="193">
      <c r="A193" s="41" t="inlineStr">
        <is>
          <t>iPad</t>
        </is>
      </c>
      <c r="B193" s="40" t="inlineStr">
        <is>
          <t>13インチiPad Pro（M5）Wi-Fi+Cellular(1TB)_NT</t>
        </is>
      </c>
      <c r="C193" s="41" t="inlineStr">
        <is>
          <t>H</t>
        </is>
      </c>
      <c r="D193" s="41" t="n">
        <v>2</v>
      </c>
      <c r="E193" s="30">
        <f>IF($B193="","",SUMIFS(機種販売入力!$H$4:$H$503,機種販売入力!$C$4:$C$503,$B193,機種販売入力!$B$4:$B$503,"&lt;&gt;YM"))</f>
        <v/>
      </c>
      <c r="F193" s="30">
        <f>IF($B193="","",N($D193)*E193)</f>
        <v/>
      </c>
      <c r="G193" s="57" t="n"/>
      <c r="I193" s="41" t="n"/>
      <c r="J193" s="40" t="n"/>
      <c r="K193" s="41" t="n"/>
      <c r="L193" s="41" t="n"/>
      <c r="M193" s="30">
        <f>IF($J193="","",SUMIFS(機種販売入力!$H$4:$H$503,機種販売入力!$C$4:$C$503,$J193,機種販売入力!$B$4:$B$503,"YM"))</f>
        <v/>
      </c>
      <c r="N193" s="30">
        <f>IF($J193="","",N($L193)*M193)</f>
        <v/>
      </c>
      <c r="O193" s="57" t="n"/>
    </row>
    <row r="194">
      <c r="A194" s="41" t="inlineStr">
        <is>
          <t>iPad</t>
        </is>
      </c>
      <c r="B194" s="40" t="inlineStr">
        <is>
          <t>13インチiPad Pro（M5）Wi-Fi+Cellular(2TB)</t>
        </is>
      </c>
      <c r="C194" s="41" t="inlineStr">
        <is>
          <t>H</t>
        </is>
      </c>
      <c r="D194" s="41" t="n">
        <v>2</v>
      </c>
      <c r="E194" s="30">
        <f>IF($B194="","",SUMIFS(機種販売入力!$H$4:$H$503,機種販売入力!$C$4:$C$503,$B194,機種販売入力!$B$4:$B$503,"&lt;&gt;YM"))</f>
        <v/>
      </c>
      <c r="F194" s="30">
        <f>IF($B194="","",N($D194)*E194)</f>
        <v/>
      </c>
      <c r="G194" s="57" t="n"/>
      <c r="I194" s="41" t="n"/>
      <c r="J194" s="40" t="n"/>
      <c r="K194" s="41" t="n"/>
      <c r="L194" s="41" t="n"/>
      <c r="M194" s="30">
        <f>IF($J194="","",SUMIFS(機種販売入力!$H$4:$H$503,機種販売入力!$C$4:$C$503,$J194,機種販売入力!$B$4:$B$503,"YM"))</f>
        <v/>
      </c>
      <c r="N194" s="30">
        <f>IF($J194="","",N($L194)*M194)</f>
        <v/>
      </c>
      <c r="O194" s="57" t="n"/>
    </row>
    <row r="195">
      <c r="A195" s="41" t="inlineStr">
        <is>
          <t>iPad</t>
        </is>
      </c>
      <c r="B195" s="40" t="inlineStr">
        <is>
          <t>13インチiPad Pro（M5）Wi-Fi+Cellular(2TB)_NT</t>
        </is>
      </c>
      <c r="C195" s="41" t="inlineStr">
        <is>
          <t>H</t>
        </is>
      </c>
      <c r="D195" s="41" t="n">
        <v>2</v>
      </c>
      <c r="E195" s="30">
        <f>IF($B195="","",SUMIFS(機種販売入力!$H$4:$H$503,機種販売入力!$C$4:$C$503,$B195,機種販売入力!$B$4:$B$503,"&lt;&gt;YM"))</f>
        <v/>
      </c>
      <c r="F195" s="30">
        <f>IF($B195="","",N($D195)*E195)</f>
        <v/>
      </c>
      <c r="G195" s="57" t="n"/>
      <c r="I195" s="41" t="n"/>
      <c r="J195" s="40" t="n"/>
      <c r="K195" s="41" t="n"/>
      <c r="L195" s="41" t="n"/>
      <c r="M195" s="30">
        <f>IF($J195="","",SUMIFS(機種販売入力!$H$4:$H$503,機種販売入力!$C$4:$C$503,$J195,機種販売入力!$B$4:$B$503,"YM"))</f>
        <v/>
      </c>
      <c r="N195" s="30">
        <f>IF($J195="","",N($L195)*M195)</f>
        <v/>
      </c>
      <c r="O195" s="57" t="n"/>
    </row>
    <row r="196">
      <c r="A196" s="41" t="inlineStr">
        <is>
          <t>iPad</t>
        </is>
      </c>
      <c r="B196" s="40" t="inlineStr">
        <is>
          <t>13インチiPad Pro（M4）Wi-Fi+Cellular(256GB)</t>
        </is>
      </c>
      <c r="C196" s="41" t="inlineStr">
        <is>
          <t>H</t>
        </is>
      </c>
      <c r="D196" s="41" t="n">
        <v>2</v>
      </c>
      <c r="E196" s="30">
        <f>IF($B196="","",SUMIFS(機種販売入力!$H$4:$H$503,機種販売入力!$C$4:$C$503,$B196,機種販売入力!$B$4:$B$503,"&lt;&gt;YM"))</f>
        <v/>
      </c>
      <c r="F196" s="30">
        <f>IF($B196="","",N($D196)*E196)</f>
        <v/>
      </c>
      <c r="G196" s="57" t="n"/>
      <c r="I196" s="41" t="n"/>
      <c r="J196" s="40" t="n"/>
      <c r="K196" s="41" t="n"/>
      <c r="L196" s="41" t="n"/>
      <c r="M196" s="30">
        <f>IF($J196="","",SUMIFS(機種販売入力!$H$4:$H$503,機種販売入力!$C$4:$C$503,$J196,機種販売入力!$B$4:$B$503,"YM"))</f>
        <v/>
      </c>
      <c r="N196" s="30">
        <f>IF($J196="","",N($L196)*M196)</f>
        <v/>
      </c>
      <c r="O196" s="57" t="n"/>
    </row>
    <row r="197">
      <c r="A197" s="41" t="inlineStr">
        <is>
          <t>iPad</t>
        </is>
      </c>
      <c r="B197" s="40" t="inlineStr">
        <is>
          <t>13インチiPad Pro（M4）Wi-Fi+Cellular(512GB)</t>
        </is>
      </c>
      <c r="C197" s="41" t="inlineStr">
        <is>
          <t>H</t>
        </is>
      </c>
      <c r="D197" s="41" t="n">
        <v>2</v>
      </c>
      <c r="E197" s="30">
        <f>IF($B197="","",SUMIFS(機種販売入力!$H$4:$H$503,機種販売入力!$C$4:$C$503,$B197,機種販売入力!$B$4:$B$503,"&lt;&gt;YM"))</f>
        <v/>
      </c>
      <c r="F197" s="30">
        <f>IF($B197="","",N($D197)*E197)</f>
        <v/>
      </c>
      <c r="G197" s="57" t="n"/>
      <c r="I197" s="41" t="n"/>
      <c r="J197" s="40" t="n"/>
      <c r="K197" s="41" t="n"/>
      <c r="L197" s="41" t="n"/>
      <c r="M197" s="30">
        <f>IF($J197="","",SUMIFS(機種販売入力!$H$4:$H$503,機種販売入力!$C$4:$C$503,$J197,機種販売入力!$B$4:$B$503,"YM"))</f>
        <v/>
      </c>
      <c r="N197" s="30">
        <f>IF($J197="","",N($L197)*M197)</f>
        <v/>
      </c>
      <c r="O197" s="57" t="n"/>
    </row>
    <row r="198">
      <c r="A198" s="41" t="inlineStr">
        <is>
          <t>iPad</t>
        </is>
      </c>
      <c r="B198" s="40" t="inlineStr">
        <is>
          <t>13インチiPad Pro（M4）Wi-Fi+Cellular(1TB)</t>
        </is>
      </c>
      <c r="C198" s="41" t="inlineStr">
        <is>
          <t>H</t>
        </is>
      </c>
      <c r="D198" s="41" t="n">
        <v>2</v>
      </c>
      <c r="E198" s="30">
        <f>IF($B198="","",SUMIFS(機種販売入力!$H$4:$H$503,機種販売入力!$C$4:$C$503,$B198,機種販売入力!$B$4:$B$503,"&lt;&gt;YM"))</f>
        <v/>
      </c>
      <c r="F198" s="30">
        <f>IF($B198="","",N($D198)*E198)</f>
        <v/>
      </c>
      <c r="G198" s="57" t="n"/>
      <c r="I198" s="41" t="n"/>
      <c r="J198" s="40" t="n"/>
      <c r="K198" s="41" t="n"/>
      <c r="L198" s="41" t="n"/>
      <c r="M198" s="30">
        <f>IF($J198="","",SUMIFS(機種販売入力!$H$4:$H$503,機種販売入力!$C$4:$C$503,$J198,機種販売入力!$B$4:$B$503,"YM"))</f>
        <v/>
      </c>
      <c r="N198" s="30">
        <f>IF($J198="","",N($L198)*M198)</f>
        <v/>
      </c>
      <c r="O198" s="57" t="n"/>
    </row>
    <row r="199">
      <c r="A199" s="41" t="inlineStr">
        <is>
          <t>iPad</t>
        </is>
      </c>
      <c r="B199" s="40" t="inlineStr">
        <is>
          <t>13インチiPad Pro（M4）Wi-Fi+Cellular(1TB)_NT</t>
        </is>
      </c>
      <c r="C199" s="41" t="inlineStr">
        <is>
          <t>H</t>
        </is>
      </c>
      <c r="D199" s="41" t="n">
        <v>2</v>
      </c>
      <c r="E199" s="30">
        <f>IF($B199="","",SUMIFS(機種販売入力!$H$4:$H$503,機種販売入力!$C$4:$C$503,$B199,機種販売入力!$B$4:$B$503,"&lt;&gt;YM"))</f>
        <v/>
      </c>
      <c r="F199" s="30">
        <f>IF($B199="","",N($D199)*E199)</f>
        <v/>
      </c>
      <c r="G199" s="57" t="n"/>
      <c r="I199" s="41" t="n"/>
      <c r="J199" s="40" t="n"/>
      <c r="K199" s="41" t="n"/>
      <c r="L199" s="41" t="n"/>
      <c r="M199" s="30">
        <f>IF($J199="","",SUMIFS(機種販売入力!$H$4:$H$503,機種販売入力!$C$4:$C$503,$J199,機種販売入力!$B$4:$B$503,"YM"))</f>
        <v/>
      </c>
      <c r="N199" s="30">
        <f>IF($J199="","",N($L199)*M199)</f>
        <v/>
      </c>
      <c r="O199" s="57" t="n"/>
    </row>
    <row r="200">
      <c r="A200" s="41" t="inlineStr">
        <is>
          <t>iPad</t>
        </is>
      </c>
      <c r="B200" s="40" t="inlineStr">
        <is>
          <t>13インチiPad Pro（M4）Wi-Fi+Cellular(2TB)</t>
        </is>
      </c>
      <c r="C200" s="41" t="inlineStr">
        <is>
          <t>H</t>
        </is>
      </c>
      <c r="D200" s="41" t="n">
        <v>2</v>
      </c>
      <c r="E200" s="30">
        <f>IF($B200="","",SUMIFS(機種販売入力!$H$4:$H$503,機種販売入力!$C$4:$C$503,$B200,機種販売入力!$B$4:$B$503,"&lt;&gt;YM"))</f>
        <v/>
      </c>
      <c r="F200" s="30">
        <f>IF($B200="","",N($D200)*E200)</f>
        <v/>
      </c>
      <c r="G200" s="57" t="n"/>
      <c r="I200" s="41" t="n"/>
      <c r="J200" s="40" t="n"/>
      <c r="K200" s="41" t="n"/>
      <c r="L200" s="41" t="n"/>
      <c r="M200" s="30">
        <f>IF($J200="","",SUMIFS(機種販売入力!$H$4:$H$503,機種販売入力!$C$4:$C$503,$J200,機種販売入力!$B$4:$B$503,"YM"))</f>
        <v/>
      </c>
      <c r="N200" s="30">
        <f>IF($J200="","",N($L200)*M200)</f>
        <v/>
      </c>
      <c r="O200" s="57" t="n"/>
    </row>
    <row r="201">
      <c r="A201" s="41" t="inlineStr">
        <is>
          <t>iPad</t>
        </is>
      </c>
      <c r="B201" s="40" t="inlineStr">
        <is>
          <t>13インチiPad Pro（M4）Wi-Fi+Cellular(2TB)_NT</t>
        </is>
      </c>
      <c r="C201" s="41" t="inlineStr">
        <is>
          <t>H</t>
        </is>
      </c>
      <c r="D201" s="41" t="n">
        <v>2</v>
      </c>
      <c r="E201" s="30">
        <f>IF($B201="","",SUMIFS(機種販売入力!$H$4:$H$503,機種販売入力!$C$4:$C$503,$B201,機種販売入力!$B$4:$B$503,"&lt;&gt;YM"))</f>
        <v/>
      </c>
      <c r="F201" s="30">
        <f>IF($B201="","",N($D201)*E201)</f>
        <v/>
      </c>
      <c r="G201" s="57" t="n"/>
      <c r="I201" s="41" t="n"/>
      <c r="J201" s="40" t="n"/>
      <c r="K201" s="41" t="n"/>
      <c r="L201" s="41" t="n"/>
      <c r="M201" s="30">
        <f>IF($J201="","",SUMIFS(機種販売入力!$H$4:$H$503,機種販売入力!$C$4:$C$503,$J201,機種販売入力!$B$4:$B$503,"YM"))</f>
        <v/>
      </c>
      <c r="N201" s="30">
        <f>IF($J201="","",N($L201)*M201)</f>
        <v/>
      </c>
      <c r="O201" s="57" t="n"/>
    </row>
    <row r="202">
      <c r="A202" s="41" t="inlineStr">
        <is>
          <t>iPad</t>
        </is>
      </c>
      <c r="B202" s="40" t="inlineStr">
        <is>
          <t>12.9インチiPad Pro(第6世代) Wi-Fi+Cellular(128GB)</t>
        </is>
      </c>
      <c r="C202" s="41" t="inlineStr">
        <is>
          <t>H</t>
        </is>
      </c>
      <c r="D202" s="41" t="n">
        <v>2</v>
      </c>
      <c r="E202" s="30">
        <f>IF($B202="","",SUMIFS(機種販売入力!$H$4:$H$503,機種販売入力!$C$4:$C$503,$B202,機種販売入力!$B$4:$B$503,"&lt;&gt;YM"))</f>
        <v/>
      </c>
      <c r="F202" s="30">
        <f>IF($B202="","",N($D202)*E202)</f>
        <v/>
      </c>
      <c r="G202" s="57" t="n"/>
      <c r="I202" s="41" t="n"/>
      <c r="J202" s="40" t="n"/>
      <c r="K202" s="41" t="n"/>
      <c r="L202" s="41" t="n"/>
      <c r="M202" s="30">
        <f>IF($J202="","",SUMIFS(機種販売入力!$H$4:$H$503,機種販売入力!$C$4:$C$503,$J202,機種販売入力!$B$4:$B$503,"YM"))</f>
        <v/>
      </c>
      <c r="N202" s="30">
        <f>IF($J202="","",N($L202)*M202)</f>
        <v/>
      </c>
      <c r="O202" s="57" t="n"/>
    </row>
    <row r="203">
      <c r="A203" s="41" t="inlineStr">
        <is>
          <t>iPad</t>
        </is>
      </c>
      <c r="B203" s="40" t="inlineStr">
        <is>
          <t>12.9インチiPad Pro(第6世代) Wi-Fi+Cellular(256GB)</t>
        </is>
      </c>
      <c r="C203" s="41" t="inlineStr">
        <is>
          <t>H</t>
        </is>
      </c>
      <c r="D203" s="41" t="n">
        <v>2</v>
      </c>
      <c r="E203" s="30">
        <f>IF($B203="","",SUMIFS(機種販売入力!$H$4:$H$503,機種販売入力!$C$4:$C$503,$B203,機種販売入力!$B$4:$B$503,"&lt;&gt;YM"))</f>
        <v/>
      </c>
      <c r="F203" s="30">
        <f>IF($B203="","",N($D203)*E203)</f>
        <v/>
      </c>
      <c r="G203" s="57" t="n"/>
      <c r="I203" s="41" t="n"/>
      <c r="J203" s="40" t="n"/>
      <c r="K203" s="41" t="n"/>
      <c r="L203" s="41" t="n"/>
      <c r="M203" s="30">
        <f>IF($J203="","",SUMIFS(機種販売入力!$H$4:$H$503,機種販売入力!$C$4:$C$503,$J203,機種販売入力!$B$4:$B$503,"YM"))</f>
        <v/>
      </c>
      <c r="N203" s="30">
        <f>IF($J203="","",N($L203)*M203)</f>
        <v/>
      </c>
      <c r="O203" s="57" t="n"/>
    </row>
    <row r="204">
      <c r="A204" s="41" t="inlineStr">
        <is>
          <t>iPad</t>
        </is>
      </c>
      <c r="B204" s="40" t="inlineStr">
        <is>
          <t>12.9インチiPad Pro(第6世代) Wi-Fi+Cellular(512GB)</t>
        </is>
      </c>
      <c r="C204" s="41" t="inlineStr">
        <is>
          <t>H</t>
        </is>
      </c>
      <c r="D204" s="41" t="n">
        <v>2</v>
      </c>
      <c r="E204" s="30">
        <f>IF($B204="","",SUMIFS(機種販売入力!$H$4:$H$503,機種販売入力!$C$4:$C$503,$B204,機種販売入力!$B$4:$B$503,"&lt;&gt;YM"))</f>
        <v/>
      </c>
      <c r="F204" s="30">
        <f>IF($B204="","",N($D204)*E204)</f>
        <v/>
      </c>
      <c r="G204" s="57" t="n"/>
    </row>
    <row r="205">
      <c r="A205" s="41" t="inlineStr">
        <is>
          <t>iPad</t>
        </is>
      </c>
      <c r="B205" s="40" t="inlineStr">
        <is>
          <t>12.9インチiPad Pro(第6世代) Wi-Fi+Cellular(1TB)</t>
        </is>
      </c>
      <c r="C205" s="41" t="inlineStr">
        <is>
          <t>H</t>
        </is>
      </c>
      <c r="D205" s="41" t="n">
        <v>2</v>
      </c>
      <c r="E205" s="30">
        <f>IF($B205="","",SUMIFS(機種販売入力!$H$4:$H$503,機種販売入力!$C$4:$C$503,$B205,機種販売入力!$B$4:$B$503,"&lt;&gt;YM"))</f>
        <v/>
      </c>
      <c r="F205" s="30">
        <f>IF($B205="","",N($D205)*E205)</f>
        <v/>
      </c>
      <c r="G205" s="57" t="n"/>
    </row>
    <row r="206">
      <c r="A206" s="41" t="inlineStr">
        <is>
          <t>iPad</t>
        </is>
      </c>
      <c r="B206" s="40" t="inlineStr">
        <is>
          <t>12.9インチiPad Pro(第6世代) Wi-Fi+Cellular(2TB)</t>
        </is>
      </c>
      <c r="C206" s="41" t="inlineStr">
        <is>
          <t>H</t>
        </is>
      </c>
      <c r="D206" s="41" t="n">
        <v>2</v>
      </c>
      <c r="E206" s="30">
        <f>IF($B206="","",SUMIFS(機種販売入力!$H$4:$H$503,機種販売入力!$C$4:$C$503,$B206,機種販売入力!$B$4:$B$503,"&lt;&gt;YM"))</f>
        <v/>
      </c>
      <c r="F206" s="30">
        <f>IF($B206="","",N($D206)*E206)</f>
        <v/>
      </c>
      <c r="G206" s="57" t="n"/>
    </row>
    <row r="207">
      <c r="A207" s="41" t="inlineStr">
        <is>
          <t>iPad</t>
        </is>
      </c>
      <c r="B207" s="40" t="inlineStr">
        <is>
          <t>11インチiPad Pro（M5）Wi-Fi+Cellular(256GB)</t>
        </is>
      </c>
      <c r="C207" s="41" t="inlineStr">
        <is>
          <t>H</t>
        </is>
      </c>
      <c r="D207" s="41" t="n">
        <v>2</v>
      </c>
      <c r="E207" s="30">
        <f>IF($B207="","",SUMIFS(機種販売入力!$H$4:$H$503,機種販売入力!$C$4:$C$503,$B207,機種販売入力!$B$4:$B$503,"&lt;&gt;YM"))</f>
        <v/>
      </c>
      <c r="F207" s="30">
        <f>IF($B207="","",N($D207)*E207)</f>
        <v/>
      </c>
      <c r="G207" s="57" t="n"/>
    </row>
    <row r="208">
      <c r="A208" s="41" t="inlineStr">
        <is>
          <t>iPad</t>
        </is>
      </c>
      <c r="B208" s="40" t="inlineStr">
        <is>
          <t>11インチiPad Pro（M5）Wi-Fi+Cellular(512GB)</t>
        </is>
      </c>
      <c r="C208" s="41" t="inlineStr">
        <is>
          <t>H</t>
        </is>
      </c>
      <c r="D208" s="41" t="n">
        <v>2</v>
      </c>
      <c r="E208" s="30">
        <f>IF($B208="","",SUMIFS(機種販売入力!$H$4:$H$503,機種販売入力!$C$4:$C$503,$B208,機種販売入力!$B$4:$B$503,"&lt;&gt;YM"))</f>
        <v/>
      </c>
      <c r="F208" s="30">
        <f>IF($B208="","",N($D208)*E208)</f>
        <v/>
      </c>
      <c r="G208" s="57" t="n"/>
    </row>
    <row r="209">
      <c r="A209" s="41" t="inlineStr">
        <is>
          <t>iPad</t>
        </is>
      </c>
      <c r="B209" s="40" t="inlineStr">
        <is>
          <t>11インチiPad Pro（M5）Wi-Fi+Cellular(1TB)</t>
        </is>
      </c>
      <c r="C209" s="41" t="inlineStr">
        <is>
          <t>H</t>
        </is>
      </c>
      <c r="D209" s="41" t="n">
        <v>2</v>
      </c>
      <c r="E209" s="30">
        <f>IF($B209="","",SUMIFS(機種販売入力!$H$4:$H$503,機種販売入力!$C$4:$C$503,$B209,機種販売入力!$B$4:$B$503,"&lt;&gt;YM"))</f>
        <v/>
      </c>
      <c r="F209" s="30">
        <f>IF($B209="","",N($D209)*E209)</f>
        <v/>
      </c>
      <c r="G209" s="57" t="n"/>
    </row>
    <row r="210">
      <c r="A210" s="41" t="inlineStr">
        <is>
          <t>iPad</t>
        </is>
      </c>
      <c r="B210" s="40" t="inlineStr">
        <is>
          <t>11インチiPad Pro（M5）Wi-Fi+Cellular(1TB)_NT</t>
        </is>
      </c>
      <c r="C210" s="41" t="inlineStr">
        <is>
          <t>H</t>
        </is>
      </c>
      <c r="D210" s="41" t="n">
        <v>2</v>
      </c>
      <c r="E210" s="30">
        <f>IF($B210="","",SUMIFS(機種販売入力!$H$4:$H$503,機種販売入力!$C$4:$C$503,$B210,機種販売入力!$B$4:$B$503,"&lt;&gt;YM"))</f>
        <v/>
      </c>
      <c r="F210" s="30">
        <f>IF($B210="","",N($D210)*E210)</f>
        <v/>
      </c>
      <c r="G210" s="57" t="n"/>
    </row>
    <row r="211">
      <c r="A211" s="41" t="inlineStr">
        <is>
          <t>iPad</t>
        </is>
      </c>
      <c r="B211" s="40" t="inlineStr">
        <is>
          <t>11インチiPad Pro（M5）Wi-Fi+Cellular(2TB)</t>
        </is>
      </c>
      <c r="C211" s="41" t="inlineStr">
        <is>
          <t>H</t>
        </is>
      </c>
      <c r="D211" s="41" t="n">
        <v>2</v>
      </c>
      <c r="E211" s="30">
        <f>IF($B211="","",SUMIFS(機種販売入力!$H$4:$H$503,機種販売入力!$C$4:$C$503,$B211,機種販売入力!$B$4:$B$503,"&lt;&gt;YM"))</f>
        <v/>
      </c>
      <c r="F211" s="30">
        <f>IF($B211="","",N($D211)*E211)</f>
        <v/>
      </c>
      <c r="G211" s="57" t="n"/>
    </row>
    <row r="212">
      <c r="A212" s="41" t="inlineStr">
        <is>
          <t>iPad</t>
        </is>
      </c>
      <c r="B212" s="40" t="inlineStr">
        <is>
          <t>11インチiPad Pro（M5）Wi-Fi+Cellular(2TB)_NT</t>
        </is>
      </c>
      <c r="C212" s="41" t="inlineStr">
        <is>
          <t>H</t>
        </is>
      </c>
      <c r="D212" s="41" t="n">
        <v>2</v>
      </c>
      <c r="E212" s="30">
        <f>IF($B212="","",SUMIFS(機種販売入力!$H$4:$H$503,機種販売入力!$C$4:$C$503,$B212,機種販売入力!$B$4:$B$503,"&lt;&gt;YM"))</f>
        <v/>
      </c>
      <c r="F212" s="30">
        <f>IF($B212="","",N($D212)*E212)</f>
        <v/>
      </c>
      <c r="G212" s="57" t="n"/>
    </row>
    <row r="213">
      <c r="A213" s="41" t="inlineStr">
        <is>
          <t>iPad</t>
        </is>
      </c>
      <c r="B213" s="40" t="inlineStr">
        <is>
          <t>11インチiPad Pro（M4）Wi-Fi+Cellular(256GB)</t>
        </is>
      </c>
      <c r="C213" s="41" t="inlineStr">
        <is>
          <t>H</t>
        </is>
      </c>
      <c r="D213" s="41" t="n">
        <v>2</v>
      </c>
      <c r="E213" s="30">
        <f>IF($B213="","",SUMIFS(機種販売入力!$H$4:$H$503,機種販売入力!$C$4:$C$503,$B213,機種販売入力!$B$4:$B$503,"&lt;&gt;YM"))</f>
        <v/>
      </c>
      <c r="F213" s="30">
        <f>IF($B213="","",N($D213)*E213)</f>
        <v/>
      </c>
      <c r="G213" s="57" t="n"/>
    </row>
    <row r="214">
      <c r="A214" s="41" t="inlineStr">
        <is>
          <t>iPad</t>
        </is>
      </c>
      <c r="B214" s="40" t="inlineStr">
        <is>
          <t>11インチiPad Pro（M4）Wi-Fi+Cellular(512GB)</t>
        </is>
      </c>
      <c r="C214" s="41" t="inlineStr">
        <is>
          <t>H</t>
        </is>
      </c>
      <c r="D214" s="41" t="n">
        <v>2</v>
      </c>
      <c r="E214" s="30">
        <f>IF($B214="","",SUMIFS(機種販売入力!$H$4:$H$503,機種販売入力!$C$4:$C$503,$B214,機種販売入力!$B$4:$B$503,"&lt;&gt;YM"))</f>
        <v/>
      </c>
      <c r="F214" s="30">
        <f>IF($B214="","",N($D214)*E214)</f>
        <v/>
      </c>
      <c r="G214" s="57" t="n"/>
    </row>
    <row r="215">
      <c r="A215" s="41" t="inlineStr">
        <is>
          <t>iPad</t>
        </is>
      </c>
      <c r="B215" s="40" t="inlineStr">
        <is>
          <t>11インチiPad Pro（M4）Wi-Fi+Cellular(1TB)</t>
        </is>
      </c>
      <c r="C215" s="41" t="inlineStr">
        <is>
          <t>H</t>
        </is>
      </c>
      <c r="D215" s="41" t="n">
        <v>2</v>
      </c>
      <c r="E215" s="30">
        <f>IF($B215="","",SUMIFS(機種販売入力!$H$4:$H$503,機種販売入力!$C$4:$C$503,$B215,機種販売入力!$B$4:$B$503,"&lt;&gt;YM"))</f>
        <v/>
      </c>
      <c r="F215" s="30">
        <f>IF($B215="","",N($D215)*E215)</f>
        <v/>
      </c>
      <c r="G215" s="57" t="n"/>
    </row>
    <row r="216">
      <c r="A216" s="41" t="inlineStr">
        <is>
          <t>iPad</t>
        </is>
      </c>
      <c r="B216" s="40" t="inlineStr">
        <is>
          <t>11インチiPad Pro（M4）Wi-Fi+Cellular(1TB)_NT</t>
        </is>
      </c>
      <c r="C216" s="41" t="inlineStr">
        <is>
          <t>H</t>
        </is>
      </c>
      <c r="D216" s="41" t="n">
        <v>2</v>
      </c>
      <c r="E216" s="30">
        <f>IF($B216="","",SUMIFS(機種販売入力!$H$4:$H$503,機種販売入力!$C$4:$C$503,$B216,機種販売入力!$B$4:$B$503,"&lt;&gt;YM"))</f>
        <v/>
      </c>
      <c r="F216" s="30">
        <f>IF($B216="","",N($D216)*E216)</f>
        <v/>
      </c>
      <c r="G216" s="57" t="n"/>
    </row>
    <row r="217">
      <c r="A217" s="41" t="inlineStr">
        <is>
          <t>iPad</t>
        </is>
      </c>
      <c r="B217" s="40" t="inlineStr">
        <is>
          <t>11インチiPad Pro（M4）Wi-Fi+Cellular(2TB)</t>
        </is>
      </c>
      <c r="C217" s="41" t="inlineStr">
        <is>
          <t>H</t>
        </is>
      </c>
      <c r="D217" s="41" t="n">
        <v>2</v>
      </c>
      <c r="E217" s="30">
        <f>IF($B217="","",SUMIFS(機種販売入力!$H$4:$H$503,機種販売入力!$C$4:$C$503,$B217,機種販売入力!$B$4:$B$503,"&lt;&gt;YM"))</f>
        <v/>
      </c>
      <c r="F217" s="30">
        <f>IF($B217="","",N($D217)*E217)</f>
        <v/>
      </c>
      <c r="G217" s="57" t="n"/>
    </row>
    <row r="218">
      <c r="A218" s="41" t="inlineStr">
        <is>
          <t>iPad</t>
        </is>
      </c>
      <c r="B218" s="40" t="inlineStr">
        <is>
          <t>11インチiPad Pro（M4）Wi-Fi+Cellular(2TB)_NT</t>
        </is>
      </c>
      <c r="C218" s="41" t="inlineStr">
        <is>
          <t>H</t>
        </is>
      </c>
      <c r="D218" s="41" t="n">
        <v>2</v>
      </c>
      <c r="E218" s="30">
        <f>IF($B218="","",SUMIFS(機種販売入力!$H$4:$H$503,機種販売入力!$C$4:$C$503,$B218,機種販売入力!$B$4:$B$503,"&lt;&gt;YM"))</f>
        <v/>
      </c>
      <c r="F218" s="30">
        <f>IF($B218="","",N($D218)*E218)</f>
        <v/>
      </c>
      <c r="G218" s="57" t="n"/>
    </row>
    <row r="219">
      <c r="A219" s="41" t="inlineStr">
        <is>
          <t>iPad</t>
        </is>
      </c>
      <c r="B219" s="40" t="inlineStr">
        <is>
          <t>11インチiPad Pro(第4世代) Wi-Fi+Cellular(128GB)</t>
        </is>
      </c>
      <c r="C219" s="41" t="inlineStr">
        <is>
          <t>H</t>
        </is>
      </c>
      <c r="D219" s="41" t="n">
        <v>2</v>
      </c>
      <c r="E219" s="30">
        <f>IF($B219="","",SUMIFS(機種販売入力!$H$4:$H$503,機種販売入力!$C$4:$C$503,$B219,機種販売入力!$B$4:$B$503,"&lt;&gt;YM"))</f>
        <v/>
      </c>
      <c r="F219" s="30">
        <f>IF($B219="","",N($D219)*E219)</f>
        <v/>
      </c>
      <c r="G219" s="57" t="n"/>
    </row>
    <row r="220">
      <c r="A220" s="41" t="inlineStr">
        <is>
          <t>iPad</t>
        </is>
      </c>
      <c r="B220" s="40" t="inlineStr">
        <is>
          <t>11インチiPad Pro(第4世代) Wi-Fi+Cellular(256GB)</t>
        </is>
      </c>
      <c r="C220" s="41" t="inlineStr">
        <is>
          <t>H</t>
        </is>
      </c>
      <c r="D220" s="41" t="n">
        <v>2</v>
      </c>
      <c r="E220" s="30">
        <f>IF($B220="","",SUMIFS(機種販売入力!$H$4:$H$503,機種販売入力!$C$4:$C$503,$B220,機種販売入力!$B$4:$B$503,"&lt;&gt;YM"))</f>
        <v/>
      </c>
      <c r="F220" s="30">
        <f>IF($B220="","",N($D220)*E220)</f>
        <v/>
      </c>
      <c r="G220" s="57" t="n"/>
    </row>
    <row r="221">
      <c r="A221" s="41" t="inlineStr">
        <is>
          <t>iPad</t>
        </is>
      </c>
      <c r="B221" s="40" t="inlineStr">
        <is>
          <t>11インチiPad Pro(第4世代) Wi-Fi+Cellular(512GB)</t>
        </is>
      </c>
      <c r="C221" s="41" t="inlineStr">
        <is>
          <t>H</t>
        </is>
      </c>
      <c r="D221" s="41" t="n">
        <v>2</v>
      </c>
      <c r="E221" s="30">
        <f>IF($B221="","",SUMIFS(機種販売入力!$H$4:$H$503,機種販売入力!$C$4:$C$503,$B221,機種販売入力!$B$4:$B$503,"&lt;&gt;YM"))</f>
        <v/>
      </c>
      <c r="F221" s="30">
        <f>IF($B221="","",N($D221)*E221)</f>
        <v/>
      </c>
      <c r="G221" s="57" t="n"/>
    </row>
    <row r="222">
      <c r="A222" s="41" t="inlineStr">
        <is>
          <t>iPad</t>
        </is>
      </c>
      <c r="B222" s="40" t="inlineStr">
        <is>
          <t>11インチiPad Pro(第4世代) Wi-Fi+Cellular(1TB)</t>
        </is>
      </c>
      <c r="C222" s="41" t="inlineStr">
        <is>
          <t>H</t>
        </is>
      </c>
      <c r="D222" s="41" t="n">
        <v>2</v>
      </c>
      <c r="E222" s="30">
        <f>IF($B222="","",SUMIFS(機種販売入力!$H$4:$H$503,機種販売入力!$C$4:$C$503,$B222,機種販売入力!$B$4:$B$503,"&lt;&gt;YM"))</f>
        <v/>
      </c>
      <c r="F222" s="30">
        <f>IF($B222="","",N($D222)*E222)</f>
        <v/>
      </c>
      <c r="G222" s="57" t="n"/>
    </row>
    <row r="223">
      <c r="A223" s="41" t="inlineStr">
        <is>
          <t>iPad</t>
        </is>
      </c>
      <c r="B223" s="40" t="inlineStr">
        <is>
          <t>11インチiPad Pro(第4世代) Wi-Fi+Cellular(2TB)</t>
        </is>
      </c>
      <c r="C223" s="41" t="inlineStr">
        <is>
          <t>H</t>
        </is>
      </c>
      <c r="D223" s="41" t="n">
        <v>2</v>
      </c>
      <c r="E223" s="30">
        <f>IF($B223="","",SUMIFS(機種販売入力!$H$4:$H$503,機種販売入力!$C$4:$C$503,$B223,機種販売入力!$B$4:$B$503,"&lt;&gt;YM"))</f>
        <v/>
      </c>
      <c r="F223" s="30">
        <f>IF($B223="","",N($D223)*E223)</f>
        <v/>
      </c>
      <c r="G223" s="57" t="n"/>
    </row>
    <row r="224">
      <c r="A224" s="41" t="inlineStr">
        <is>
          <t>iPad</t>
        </is>
      </c>
      <c r="B224" s="40" t="inlineStr">
        <is>
          <t>13インチiPad Air（M4）Wi-Fi+Cellular(128GB)</t>
        </is>
      </c>
      <c r="C224" s="41" t="inlineStr">
        <is>
          <t>H</t>
        </is>
      </c>
      <c r="D224" s="41" t="n">
        <v>2</v>
      </c>
      <c r="E224" s="30">
        <f>IF($B224="","",SUMIFS(機種販売入力!$H$4:$H$503,機種販売入力!$C$4:$C$503,$B224,機種販売入力!$B$4:$B$503,"&lt;&gt;YM"))</f>
        <v/>
      </c>
      <c r="F224" s="30">
        <f>IF($B224="","",N($D224)*E224)</f>
        <v/>
      </c>
      <c r="G224" s="57" t="n"/>
    </row>
    <row r="225">
      <c r="A225" s="41" t="inlineStr">
        <is>
          <t>iPad</t>
        </is>
      </c>
      <c r="B225" s="40" t="inlineStr">
        <is>
          <t>13インチiPad Air（M4）Wi-Fi+Cellular(256GB)</t>
        </is>
      </c>
      <c r="C225" s="41" t="inlineStr">
        <is>
          <t>H</t>
        </is>
      </c>
      <c r="D225" s="41" t="n">
        <v>2</v>
      </c>
      <c r="E225" s="30">
        <f>IF($B225="","",SUMIFS(機種販売入力!$H$4:$H$503,機種販売入力!$C$4:$C$503,$B225,機種販売入力!$B$4:$B$503,"&lt;&gt;YM"))</f>
        <v/>
      </c>
      <c r="F225" s="30">
        <f>IF($B225="","",N($D225)*E225)</f>
        <v/>
      </c>
      <c r="G225" s="57" t="n"/>
    </row>
    <row r="226">
      <c r="A226" s="41" t="inlineStr">
        <is>
          <t>iPad</t>
        </is>
      </c>
      <c r="B226" s="40" t="inlineStr">
        <is>
          <t>13インチiPad Air（M4）Wi-Fi+Cellular(512GB)</t>
        </is>
      </c>
      <c r="C226" s="41" t="inlineStr">
        <is>
          <t>H</t>
        </is>
      </c>
      <c r="D226" s="41" t="n">
        <v>2</v>
      </c>
      <c r="E226" s="30">
        <f>IF($B226="","",SUMIFS(機種販売入力!$H$4:$H$503,機種販売入力!$C$4:$C$503,$B226,機種販売入力!$B$4:$B$503,"&lt;&gt;YM"))</f>
        <v/>
      </c>
      <c r="F226" s="30">
        <f>IF($B226="","",N($D226)*E226)</f>
        <v/>
      </c>
      <c r="G226" s="57" t="n"/>
    </row>
    <row r="227">
      <c r="A227" s="41" t="inlineStr">
        <is>
          <t>iPad</t>
        </is>
      </c>
      <c r="B227" s="40" t="inlineStr">
        <is>
          <t>13インチiPad Air（M4）Wi-Fi+Cellular(1TB)</t>
        </is>
      </c>
      <c r="C227" s="41" t="inlineStr">
        <is>
          <t>H</t>
        </is>
      </c>
      <c r="D227" s="41" t="n">
        <v>2</v>
      </c>
      <c r="E227" s="30">
        <f>IF($B227="","",SUMIFS(機種販売入力!$H$4:$H$503,機種販売入力!$C$4:$C$503,$B227,機種販売入力!$B$4:$B$503,"&lt;&gt;YM"))</f>
        <v/>
      </c>
      <c r="F227" s="30">
        <f>IF($B227="","",N($D227)*E227)</f>
        <v/>
      </c>
      <c r="G227" s="57" t="n"/>
    </row>
    <row r="228">
      <c r="A228" s="41" t="inlineStr">
        <is>
          <t>iPad</t>
        </is>
      </c>
      <c r="B228" s="40" t="inlineStr">
        <is>
          <t>11インチiPad Air（M4）Wi-Fi+Cellular(128GB)</t>
        </is>
      </c>
      <c r="C228" s="41" t="inlineStr">
        <is>
          <t>M</t>
        </is>
      </c>
      <c r="D228" s="41" t="n">
        <v>2</v>
      </c>
      <c r="E228" s="30">
        <f>IF($B228="","",SUMIFS(機種販売入力!$H$4:$H$503,機種販売入力!$C$4:$C$503,$B228,機種販売入力!$B$4:$B$503,"&lt;&gt;YM"))</f>
        <v/>
      </c>
      <c r="F228" s="30">
        <f>IF($B228="","",N($D228)*E228)</f>
        <v/>
      </c>
      <c r="G228" s="57" t="n"/>
    </row>
    <row r="229">
      <c r="A229" s="41" t="inlineStr">
        <is>
          <t>iPad</t>
        </is>
      </c>
      <c r="B229" s="40" t="inlineStr">
        <is>
          <t>11インチiPad Air（M4）Wi-Fi+Cellular(256GB)</t>
        </is>
      </c>
      <c r="C229" s="41" t="inlineStr">
        <is>
          <t>M</t>
        </is>
      </c>
      <c r="D229" s="41" t="n">
        <v>2</v>
      </c>
      <c r="E229" s="30">
        <f>IF($B229="","",SUMIFS(機種販売入力!$H$4:$H$503,機種販売入力!$C$4:$C$503,$B229,機種販売入力!$B$4:$B$503,"&lt;&gt;YM"))</f>
        <v/>
      </c>
      <c r="F229" s="30">
        <f>IF($B229="","",N($D229)*E229)</f>
        <v/>
      </c>
      <c r="G229" s="57" t="n"/>
    </row>
    <row r="230">
      <c r="A230" s="41" t="inlineStr">
        <is>
          <t>iPad</t>
        </is>
      </c>
      <c r="B230" s="40" t="inlineStr">
        <is>
          <t>11インチiPad Air（M4）Wi-Fi+Cellular(512GB)</t>
        </is>
      </c>
      <c r="C230" s="41" t="inlineStr">
        <is>
          <t>M</t>
        </is>
      </c>
      <c r="D230" s="41" t="n">
        <v>2</v>
      </c>
      <c r="E230" s="30">
        <f>IF($B230="","",SUMIFS(機種販売入力!$H$4:$H$503,機種販売入力!$C$4:$C$503,$B230,機種販売入力!$B$4:$B$503,"&lt;&gt;YM"))</f>
        <v/>
      </c>
      <c r="F230" s="30">
        <f>IF($B230="","",N($D230)*E230)</f>
        <v/>
      </c>
      <c r="G230" s="57" t="n"/>
    </row>
    <row r="231">
      <c r="A231" s="41" t="inlineStr">
        <is>
          <t>iPad</t>
        </is>
      </c>
      <c r="B231" s="40" t="inlineStr">
        <is>
          <t>11インチiPad Air（M4）Wi-Fi+Cellular(1TB)</t>
        </is>
      </c>
      <c r="C231" s="41" t="inlineStr">
        <is>
          <t>M</t>
        </is>
      </c>
      <c r="D231" s="41" t="n">
        <v>2</v>
      </c>
      <c r="E231" s="30">
        <f>IF($B231="","",SUMIFS(機種販売入力!$H$4:$H$503,機種販売入力!$C$4:$C$503,$B231,機種販売入力!$B$4:$B$503,"&lt;&gt;YM"))</f>
        <v/>
      </c>
      <c r="F231" s="30">
        <f>IF($B231="","",N($D231)*E231)</f>
        <v/>
      </c>
      <c r="G231" s="57" t="n"/>
    </row>
    <row r="232">
      <c r="A232" s="41" t="inlineStr">
        <is>
          <t>iPad</t>
        </is>
      </c>
      <c r="B232" s="40" t="inlineStr">
        <is>
          <t>13インチiPad Air（M3）Wi-Fi+Cellular(128GB)</t>
        </is>
      </c>
      <c r="C232" s="41" t="inlineStr">
        <is>
          <t>H</t>
        </is>
      </c>
      <c r="D232" s="41" t="n">
        <v>2</v>
      </c>
      <c r="E232" s="30">
        <f>IF($B232="","",SUMIFS(機種販売入力!$H$4:$H$503,機種販売入力!$C$4:$C$503,$B232,機種販売入力!$B$4:$B$503,"&lt;&gt;YM"))</f>
        <v/>
      </c>
      <c r="F232" s="30">
        <f>IF($B232="","",N($D232)*E232)</f>
        <v/>
      </c>
      <c r="G232" s="57" t="n"/>
    </row>
    <row r="233">
      <c r="A233" s="41" t="inlineStr">
        <is>
          <t>iPad</t>
        </is>
      </c>
      <c r="B233" s="40" t="inlineStr">
        <is>
          <t>13インチiPad Air（M3）Wi-Fi+Cellular(256GB)</t>
        </is>
      </c>
      <c r="C233" s="41" t="inlineStr">
        <is>
          <t>H</t>
        </is>
      </c>
      <c r="D233" s="41" t="n">
        <v>2</v>
      </c>
      <c r="E233" s="30">
        <f>IF($B233="","",SUMIFS(機種販売入力!$H$4:$H$503,機種販売入力!$C$4:$C$503,$B233,機種販売入力!$B$4:$B$503,"&lt;&gt;YM"))</f>
        <v/>
      </c>
      <c r="F233" s="30">
        <f>IF($B233="","",N($D233)*E233)</f>
        <v/>
      </c>
      <c r="G233" s="57" t="n"/>
    </row>
    <row r="234">
      <c r="A234" s="41" t="inlineStr">
        <is>
          <t>iPad</t>
        </is>
      </c>
      <c r="B234" s="40" t="inlineStr">
        <is>
          <t>13インチiPad Air（M3）Wi-Fi+Cellular(512GB)</t>
        </is>
      </c>
      <c r="C234" s="41" t="inlineStr">
        <is>
          <t>H</t>
        </is>
      </c>
      <c r="D234" s="41" t="n">
        <v>2</v>
      </c>
      <c r="E234" s="30">
        <f>IF($B234="","",SUMIFS(機種販売入力!$H$4:$H$503,機種販売入力!$C$4:$C$503,$B234,機種販売入力!$B$4:$B$503,"&lt;&gt;YM"))</f>
        <v/>
      </c>
      <c r="F234" s="30">
        <f>IF($B234="","",N($D234)*E234)</f>
        <v/>
      </c>
      <c r="G234" s="57" t="n"/>
    </row>
    <row r="235">
      <c r="A235" s="41" t="inlineStr">
        <is>
          <t>iPad</t>
        </is>
      </c>
      <c r="B235" s="40" t="inlineStr">
        <is>
          <t>13インチiPad Air（M3）Wi-Fi+Cellular(1TB)</t>
        </is>
      </c>
      <c r="C235" s="41" t="inlineStr">
        <is>
          <t>H</t>
        </is>
      </c>
      <c r="D235" s="41" t="n">
        <v>2</v>
      </c>
      <c r="E235" s="30">
        <f>IF($B235="","",SUMIFS(機種販売入力!$H$4:$H$503,機種販売入力!$C$4:$C$503,$B235,機種販売入力!$B$4:$B$503,"&lt;&gt;YM"))</f>
        <v/>
      </c>
      <c r="F235" s="30">
        <f>IF($B235="","",N($D235)*E235)</f>
        <v/>
      </c>
      <c r="G235" s="57" t="n"/>
    </row>
    <row r="236">
      <c r="A236" s="41" t="inlineStr">
        <is>
          <t>iPad</t>
        </is>
      </c>
      <c r="B236" s="40" t="inlineStr">
        <is>
          <t>11インチiPad Air（M3）Wi-Fi+Cellular(128GB)</t>
        </is>
      </c>
      <c r="C236" s="41" t="inlineStr">
        <is>
          <t>M</t>
        </is>
      </c>
      <c r="D236" s="41" t="n">
        <v>2</v>
      </c>
      <c r="E236" s="30">
        <f>IF($B236="","",SUMIFS(機種販売入力!$H$4:$H$503,機種販売入力!$C$4:$C$503,$B236,機種販売入力!$B$4:$B$503,"&lt;&gt;YM"))</f>
        <v/>
      </c>
      <c r="F236" s="30">
        <f>IF($B236="","",N($D236)*E236)</f>
        <v/>
      </c>
      <c r="G236" s="57" t="n"/>
    </row>
    <row r="237">
      <c r="A237" s="41" t="inlineStr">
        <is>
          <t>iPad</t>
        </is>
      </c>
      <c r="B237" s="40" t="inlineStr">
        <is>
          <t>11インチiPad Air（M3）Wi-Fi+Cellular(256GB)</t>
        </is>
      </c>
      <c r="C237" s="41" t="inlineStr">
        <is>
          <t>M</t>
        </is>
      </c>
      <c r="D237" s="41" t="n">
        <v>2</v>
      </c>
      <c r="E237" s="30">
        <f>IF($B237="","",SUMIFS(機種販売入力!$H$4:$H$503,機種販売入力!$C$4:$C$503,$B237,機種販売入力!$B$4:$B$503,"&lt;&gt;YM"))</f>
        <v/>
      </c>
      <c r="F237" s="30">
        <f>IF($B237="","",N($D237)*E237)</f>
        <v/>
      </c>
      <c r="G237" s="57" t="n"/>
    </row>
    <row r="238">
      <c r="A238" s="41" t="inlineStr">
        <is>
          <t>iPad</t>
        </is>
      </c>
      <c r="B238" s="40" t="inlineStr">
        <is>
          <t>11インチiPad Air（M3）Wi-Fi+Cellular(512GB)</t>
        </is>
      </c>
      <c r="C238" s="41" t="inlineStr">
        <is>
          <t>M</t>
        </is>
      </c>
      <c r="D238" s="41" t="n">
        <v>2</v>
      </c>
      <c r="E238" s="30">
        <f>IF($B238="","",SUMIFS(機種販売入力!$H$4:$H$503,機種販売入力!$C$4:$C$503,$B238,機種販売入力!$B$4:$B$503,"&lt;&gt;YM"))</f>
        <v/>
      </c>
      <c r="F238" s="30">
        <f>IF($B238="","",N($D238)*E238)</f>
        <v/>
      </c>
      <c r="G238" s="57" t="n"/>
    </row>
    <row r="239">
      <c r="A239" s="41" t="inlineStr">
        <is>
          <t>iPad</t>
        </is>
      </c>
      <c r="B239" s="40" t="inlineStr">
        <is>
          <t>11インチiPad Air（M3）Wi-Fi+Cellular(1TB)</t>
        </is>
      </c>
      <c r="C239" s="41" t="inlineStr">
        <is>
          <t>M</t>
        </is>
      </c>
      <c r="D239" s="41" t="n">
        <v>2</v>
      </c>
      <c r="E239" s="30">
        <f>IF($B239="","",SUMIFS(機種販売入力!$H$4:$H$503,機種販売入力!$C$4:$C$503,$B239,機種販売入力!$B$4:$B$503,"&lt;&gt;YM"))</f>
        <v/>
      </c>
      <c r="F239" s="30">
        <f>IF($B239="","",N($D239)*E239)</f>
        <v/>
      </c>
      <c r="G239" s="57" t="n"/>
    </row>
    <row r="240">
      <c r="A240" s="41" t="inlineStr">
        <is>
          <t>iPad</t>
        </is>
      </c>
      <c r="B240" s="40" t="inlineStr">
        <is>
          <t>13インチiPad Air（M2）Wi-Fi+Cellular(128GB)</t>
        </is>
      </c>
      <c r="C240" s="41" t="inlineStr">
        <is>
          <t>H</t>
        </is>
      </c>
      <c r="D240" s="41" t="n">
        <v>2</v>
      </c>
      <c r="E240" s="30">
        <f>IF($B240="","",SUMIFS(機種販売入力!$H$4:$H$503,機種販売入力!$C$4:$C$503,$B240,機種販売入力!$B$4:$B$503,"&lt;&gt;YM"))</f>
        <v/>
      </c>
      <c r="F240" s="30">
        <f>IF($B240="","",N($D240)*E240)</f>
        <v/>
      </c>
      <c r="G240" s="57" t="n"/>
    </row>
    <row r="241">
      <c r="A241" s="41" t="inlineStr">
        <is>
          <t>iPad</t>
        </is>
      </c>
      <c r="B241" s="40" t="inlineStr">
        <is>
          <t>13インチiPad Air（M2）Wi-Fi+Cellular(256GB)</t>
        </is>
      </c>
      <c r="C241" s="41" t="inlineStr">
        <is>
          <t>H</t>
        </is>
      </c>
      <c r="D241" s="41" t="n">
        <v>2</v>
      </c>
      <c r="E241" s="30">
        <f>IF($B241="","",SUMIFS(機種販売入力!$H$4:$H$503,機種販売入力!$C$4:$C$503,$B241,機種販売入力!$B$4:$B$503,"&lt;&gt;YM"))</f>
        <v/>
      </c>
      <c r="F241" s="30">
        <f>IF($B241="","",N($D241)*E241)</f>
        <v/>
      </c>
      <c r="G241" s="57" t="n"/>
    </row>
    <row r="242">
      <c r="A242" s="41" t="inlineStr">
        <is>
          <t>iPad</t>
        </is>
      </c>
      <c r="B242" s="40" t="inlineStr">
        <is>
          <t>13インチiPad Air（M2）Wi-Fi+Cellular(512GB)</t>
        </is>
      </c>
      <c r="C242" s="41" t="inlineStr">
        <is>
          <t>H</t>
        </is>
      </c>
      <c r="D242" s="41" t="n">
        <v>2</v>
      </c>
      <c r="E242" s="30">
        <f>IF($B242="","",SUMIFS(機種販売入力!$H$4:$H$503,機種販売入力!$C$4:$C$503,$B242,機種販売入力!$B$4:$B$503,"&lt;&gt;YM"))</f>
        <v/>
      </c>
      <c r="F242" s="30">
        <f>IF($B242="","",N($D242)*E242)</f>
        <v/>
      </c>
      <c r="G242" s="57" t="n"/>
    </row>
    <row r="243">
      <c r="A243" s="41" t="inlineStr">
        <is>
          <t>iPad</t>
        </is>
      </c>
      <c r="B243" s="40" t="inlineStr">
        <is>
          <t>13インチiPad Air（M2）Wi-Fi+Cellular(1TB)</t>
        </is>
      </c>
      <c r="C243" s="41" t="inlineStr">
        <is>
          <t>H</t>
        </is>
      </c>
      <c r="D243" s="41" t="n">
        <v>2</v>
      </c>
      <c r="E243" s="30">
        <f>IF($B243="","",SUMIFS(機種販売入力!$H$4:$H$503,機種販売入力!$C$4:$C$503,$B243,機種販売入力!$B$4:$B$503,"&lt;&gt;YM"))</f>
        <v/>
      </c>
      <c r="F243" s="30">
        <f>IF($B243="","",N($D243)*E243)</f>
        <v/>
      </c>
      <c r="G243" s="57" t="n"/>
    </row>
    <row r="244">
      <c r="A244" s="41" t="inlineStr">
        <is>
          <t>iPad</t>
        </is>
      </c>
      <c r="B244" s="40" t="inlineStr">
        <is>
          <t>11インチiPad Air（M2）Wi-Fi+Cellular(128GB)</t>
        </is>
      </c>
      <c r="C244" s="41" t="inlineStr">
        <is>
          <t>M</t>
        </is>
      </c>
      <c r="D244" s="41" t="n">
        <v>2</v>
      </c>
      <c r="E244" s="30">
        <f>IF($B244="","",SUMIFS(機種販売入力!$H$4:$H$503,機種販売入力!$C$4:$C$503,$B244,機種販売入力!$B$4:$B$503,"&lt;&gt;YM"))</f>
        <v/>
      </c>
      <c r="F244" s="30">
        <f>IF($B244="","",N($D244)*E244)</f>
        <v/>
      </c>
      <c r="G244" s="57" t="n"/>
    </row>
    <row r="245">
      <c r="A245" s="41" t="inlineStr">
        <is>
          <t>iPad</t>
        </is>
      </c>
      <c r="B245" s="40" t="inlineStr">
        <is>
          <t>11インチiPad Air（M2）Wi-Fi+Cellular(256GB)</t>
        </is>
      </c>
      <c r="C245" s="41" t="inlineStr">
        <is>
          <t>M</t>
        </is>
      </c>
      <c r="D245" s="41" t="n">
        <v>2</v>
      </c>
      <c r="E245" s="30">
        <f>IF($B245="","",SUMIFS(機種販売入力!$H$4:$H$503,機種販売入力!$C$4:$C$503,$B245,機種販売入力!$B$4:$B$503,"&lt;&gt;YM"))</f>
        <v/>
      </c>
      <c r="F245" s="30">
        <f>IF($B245="","",N($D245)*E245)</f>
        <v/>
      </c>
      <c r="G245" s="57" t="n"/>
    </row>
    <row r="246">
      <c r="A246" s="41" t="inlineStr">
        <is>
          <t>iPad</t>
        </is>
      </c>
      <c r="B246" s="40" t="inlineStr">
        <is>
          <t>11インチiPad Air（M2）Wi-Fi+Cellular(512GB)</t>
        </is>
      </c>
      <c r="C246" s="41" t="inlineStr">
        <is>
          <t>M</t>
        </is>
      </c>
      <c r="D246" s="41" t="n">
        <v>2</v>
      </c>
      <c r="E246" s="30">
        <f>IF($B246="","",SUMIFS(機種販売入力!$H$4:$H$503,機種販売入力!$C$4:$C$503,$B246,機種販売入力!$B$4:$B$503,"&lt;&gt;YM"))</f>
        <v/>
      </c>
      <c r="F246" s="30">
        <f>IF($B246="","",N($D246)*E246)</f>
        <v/>
      </c>
      <c r="G246" s="57" t="n"/>
    </row>
    <row r="247">
      <c r="A247" s="41" t="inlineStr">
        <is>
          <t>iPad</t>
        </is>
      </c>
      <c r="B247" s="40" t="inlineStr">
        <is>
          <t>11インチiPad Air（M2）Wi-Fi+Cellular(1TB)</t>
        </is>
      </c>
      <c r="C247" s="41" t="inlineStr">
        <is>
          <t>M</t>
        </is>
      </c>
      <c r="D247" s="41" t="n">
        <v>2</v>
      </c>
      <c r="E247" s="30">
        <f>IF($B247="","",SUMIFS(機種販売入力!$H$4:$H$503,機種販売入力!$C$4:$C$503,$B247,機種販売入力!$B$4:$B$503,"&lt;&gt;YM"))</f>
        <v/>
      </c>
      <c r="F247" s="30">
        <f>IF($B247="","",N($D247)*E247)</f>
        <v/>
      </c>
      <c r="G247" s="57" t="n"/>
    </row>
    <row r="248">
      <c r="A248" s="41" t="inlineStr">
        <is>
          <t>iPad</t>
        </is>
      </c>
      <c r="B248" s="40" t="inlineStr">
        <is>
          <t>iPad Air(第5世代) Wi-Fi+Cellular(64GB)</t>
        </is>
      </c>
      <c r="C248" s="41" t="inlineStr">
        <is>
          <t>M</t>
        </is>
      </c>
      <c r="D248" s="41" t="n">
        <v>2</v>
      </c>
      <c r="E248" s="30">
        <f>IF($B248="","",SUMIFS(機種販売入力!$H$4:$H$503,機種販売入力!$C$4:$C$503,$B248,機種販売入力!$B$4:$B$503,"&lt;&gt;YM"))</f>
        <v/>
      </c>
      <c r="F248" s="30">
        <f>IF($B248="","",N($D248)*E248)</f>
        <v/>
      </c>
      <c r="G248" s="57" t="n"/>
    </row>
    <row r="249">
      <c r="A249" s="41" t="inlineStr">
        <is>
          <t>iPad</t>
        </is>
      </c>
      <c r="B249" s="40" t="inlineStr">
        <is>
          <t>iPad Air(第5世代) Wi-Fi+Cellular(256GB)</t>
        </is>
      </c>
      <c r="C249" s="41" t="inlineStr">
        <is>
          <t>M</t>
        </is>
      </c>
      <c r="D249" s="41" t="n">
        <v>2</v>
      </c>
      <c r="E249" s="30">
        <f>IF($B249="","",SUMIFS(機種販売入力!$H$4:$H$503,機種販売入力!$C$4:$C$503,$B249,機種販売入力!$B$4:$B$503,"&lt;&gt;YM"))</f>
        <v/>
      </c>
      <c r="F249" s="30">
        <f>IF($B249="","",N($D249)*E249)</f>
        <v/>
      </c>
      <c r="G249" s="57" t="n"/>
    </row>
    <row r="250">
      <c r="A250" s="41" t="inlineStr">
        <is>
          <t>iPad</t>
        </is>
      </c>
      <c r="B250" s="40" t="inlineStr">
        <is>
          <t>iPad（A16）Wi-Fi+Cellular(128GB)</t>
        </is>
      </c>
      <c r="C250" s="41" t="inlineStr">
        <is>
          <t>M</t>
        </is>
      </c>
      <c r="D250" s="41" t="n">
        <v>2</v>
      </c>
      <c r="E250" s="30">
        <f>IF($B250="","",SUMIFS(機種販売入力!$H$4:$H$503,機種販売入力!$C$4:$C$503,$B250,機種販売入力!$B$4:$B$503,"&lt;&gt;YM"))</f>
        <v/>
      </c>
      <c r="F250" s="30">
        <f>IF($B250="","",N($D250)*E250)</f>
        <v/>
      </c>
      <c r="G250" s="57" t="n"/>
    </row>
    <row r="251">
      <c r="A251" s="41" t="inlineStr">
        <is>
          <t>iPad</t>
        </is>
      </c>
      <c r="B251" s="40" t="inlineStr">
        <is>
          <t>iPad（A16）Wi-Fi+Cellular(256GB)</t>
        </is>
      </c>
      <c r="C251" s="41" t="inlineStr">
        <is>
          <t>M</t>
        </is>
      </c>
      <c r="D251" s="41" t="n">
        <v>2</v>
      </c>
      <c r="E251" s="30">
        <f>IF($B251="","",SUMIFS(機種販売入力!$H$4:$H$503,機種販売入力!$C$4:$C$503,$B251,機種販売入力!$B$4:$B$503,"&lt;&gt;YM"))</f>
        <v/>
      </c>
      <c r="F251" s="30">
        <f>IF($B251="","",N($D251)*E251)</f>
        <v/>
      </c>
      <c r="G251" s="57" t="n"/>
    </row>
    <row r="252">
      <c r="A252" s="41" t="inlineStr">
        <is>
          <t>iPad</t>
        </is>
      </c>
      <c r="B252" s="40" t="inlineStr">
        <is>
          <t>iPad（A16）Wi-Fi+Cellular(512GB)</t>
        </is>
      </c>
      <c r="C252" s="41" t="inlineStr">
        <is>
          <t>M</t>
        </is>
      </c>
      <c r="D252" s="41" t="n">
        <v>2</v>
      </c>
      <c r="E252" s="30">
        <f>IF($B252="","",SUMIFS(機種販売入力!$H$4:$H$503,機種販売入力!$C$4:$C$503,$B252,機種販売入力!$B$4:$B$503,"&lt;&gt;YM"))</f>
        <v/>
      </c>
      <c r="F252" s="30">
        <f>IF($B252="","",N($D252)*E252)</f>
        <v/>
      </c>
      <c r="G252" s="57" t="n"/>
    </row>
    <row r="253">
      <c r="A253" s="41" t="inlineStr">
        <is>
          <t>iPad</t>
        </is>
      </c>
      <c r="B253" s="40" t="inlineStr">
        <is>
          <t>iPad(第10世代) Wi-Fi+Cellular(64GB)</t>
        </is>
      </c>
      <c r="C253" s="41" t="inlineStr">
        <is>
          <t>M</t>
        </is>
      </c>
      <c r="D253" s="41" t="n">
        <v>2</v>
      </c>
      <c r="E253" s="30">
        <f>IF($B253="","",SUMIFS(機種販売入力!$H$4:$H$503,機種販売入力!$C$4:$C$503,$B253,機種販売入力!$B$4:$B$503,"&lt;&gt;YM"))</f>
        <v/>
      </c>
      <c r="F253" s="30">
        <f>IF($B253="","",N($D253)*E253)</f>
        <v/>
      </c>
      <c r="G253" s="57" t="n"/>
    </row>
    <row r="254">
      <c r="A254" s="41" t="inlineStr">
        <is>
          <t>iPad</t>
        </is>
      </c>
      <c r="B254" s="40" t="inlineStr">
        <is>
          <t>iPad(第10世代) Wi-Fi+Cellular(256GB)</t>
        </is>
      </c>
      <c r="C254" s="41" t="inlineStr">
        <is>
          <t>M</t>
        </is>
      </c>
      <c r="D254" s="41" t="n">
        <v>2</v>
      </c>
      <c r="E254" s="30">
        <f>IF($B254="","",SUMIFS(機種販売入力!$H$4:$H$503,機種販売入力!$C$4:$C$503,$B254,機種販売入力!$B$4:$B$503,"&lt;&gt;YM"))</f>
        <v/>
      </c>
      <c r="F254" s="30">
        <f>IF($B254="","",N($D254)*E254)</f>
        <v/>
      </c>
      <c r="G254" s="57" t="n"/>
    </row>
    <row r="255">
      <c r="A255" s="41" t="inlineStr">
        <is>
          <t>iPad</t>
        </is>
      </c>
      <c r="B255" s="40" t="inlineStr">
        <is>
          <t>iPad(第9世代) Wi-Fi+Cellular(64GB)</t>
        </is>
      </c>
      <c r="C255" s="41" t="inlineStr">
        <is>
          <t>M</t>
        </is>
      </c>
      <c r="D255" s="41" t="n">
        <v>2</v>
      </c>
      <c r="E255" s="30">
        <f>IF($B255="","",SUMIFS(機種販売入力!$H$4:$H$503,機種販売入力!$C$4:$C$503,$B255,機種販売入力!$B$4:$B$503,"&lt;&gt;YM"))</f>
        <v/>
      </c>
      <c r="F255" s="30">
        <f>IF($B255="","",N($D255)*E255)</f>
        <v/>
      </c>
      <c r="G255" s="57" t="n"/>
    </row>
    <row r="256">
      <c r="A256" s="41" t="inlineStr">
        <is>
          <t>iPad</t>
        </is>
      </c>
      <c r="B256" s="40" t="inlineStr">
        <is>
          <t>iPad(第9世代) Wi-Fi+Cellular(256GB)</t>
        </is>
      </c>
      <c r="C256" s="41" t="inlineStr">
        <is>
          <t>M</t>
        </is>
      </c>
      <c r="D256" s="41" t="n">
        <v>2</v>
      </c>
      <c r="E256" s="30">
        <f>IF($B256="","",SUMIFS(機種販売入力!$H$4:$H$503,機種販売入力!$C$4:$C$503,$B256,機種販売入力!$B$4:$B$503,"&lt;&gt;YM"))</f>
        <v/>
      </c>
      <c r="F256" s="30">
        <f>IF($B256="","",N($D256)*E256)</f>
        <v/>
      </c>
      <c r="G256" s="57" t="n"/>
    </row>
    <row r="257">
      <c r="A257" s="41" t="inlineStr">
        <is>
          <t>iPad</t>
        </is>
      </c>
      <c r="B257" s="40" t="inlineStr">
        <is>
          <t>iPad mini（A17 Pro）Wi-Fi+Cellular(128GB)</t>
        </is>
      </c>
      <c r="C257" s="41" t="inlineStr">
        <is>
          <t>M</t>
        </is>
      </c>
      <c r="D257" s="41" t="n">
        <v>2</v>
      </c>
      <c r="E257" s="30">
        <f>IF($B257="","",SUMIFS(機種販売入力!$H$4:$H$503,機種販売入力!$C$4:$C$503,$B257,機種販売入力!$B$4:$B$503,"&lt;&gt;YM"))</f>
        <v/>
      </c>
      <c r="F257" s="30">
        <f>IF($B257="","",N($D257)*E257)</f>
        <v/>
      </c>
      <c r="G257" s="57" t="n"/>
    </row>
    <row r="258">
      <c r="A258" s="41" t="inlineStr">
        <is>
          <t>iPad</t>
        </is>
      </c>
      <c r="B258" s="40" t="inlineStr">
        <is>
          <t>iPad mini（A17 Pro）Wi-Fi+Cellular(256GB)</t>
        </is>
      </c>
      <c r="C258" s="41" t="inlineStr">
        <is>
          <t>M</t>
        </is>
      </c>
      <c r="D258" s="41" t="n">
        <v>2</v>
      </c>
      <c r="E258" s="30">
        <f>IF($B258="","",SUMIFS(機種販売入力!$H$4:$H$503,機種販売入力!$C$4:$C$503,$B258,機種販売入力!$B$4:$B$503,"&lt;&gt;YM"))</f>
        <v/>
      </c>
      <c r="F258" s="30">
        <f>IF($B258="","",N($D258)*E258)</f>
        <v/>
      </c>
      <c r="G258" s="57" t="n"/>
    </row>
    <row r="259">
      <c r="A259" s="41" t="inlineStr">
        <is>
          <t>iPad</t>
        </is>
      </c>
      <c r="B259" s="40" t="inlineStr">
        <is>
          <t>iPad mini（A17 Pro）Wi-Fi+Cellular(512GB)</t>
        </is>
      </c>
      <c r="C259" s="41" t="inlineStr">
        <is>
          <t>M</t>
        </is>
      </c>
      <c r="D259" s="41" t="n">
        <v>2</v>
      </c>
      <c r="E259" s="30">
        <f>IF($B259="","",SUMIFS(機種販売入力!$H$4:$H$503,機種販売入力!$C$4:$C$503,$B259,機種販売入力!$B$4:$B$503,"&lt;&gt;YM"))</f>
        <v/>
      </c>
      <c r="F259" s="30">
        <f>IF($B259="","",N($D259)*E259)</f>
        <v/>
      </c>
      <c r="G259" s="57" t="n"/>
    </row>
    <row r="260">
      <c r="A260" s="41" t="inlineStr">
        <is>
          <t>iPad</t>
        </is>
      </c>
      <c r="B260" s="40" t="inlineStr">
        <is>
          <t>iPad mini(第6世代) Wi-Fi+Cellular(64GB)</t>
        </is>
      </c>
      <c r="C260" s="41" t="inlineStr">
        <is>
          <t>M</t>
        </is>
      </c>
      <c r="D260" s="41" t="n">
        <v>2</v>
      </c>
      <c r="E260" s="30">
        <f>IF($B260="","",SUMIFS(機種販売入力!$H$4:$H$503,機種販売入力!$C$4:$C$503,$B260,機種販売入力!$B$4:$B$503,"&lt;&gt;YM"))</f>
        <v/>
      </c>
      <c r="F260" s="30">
        <f>IF($B260="","",N($D260)*E260)</f>
        <v/>
      </c>
      <c r="G260" s="57" t="n"/>
    </row>
    <row r="261">
      <c r="A261" s="41" t="inlineStr">
        <is>
          <t>iPad</t>
        </is>
      </c>
      <c r="B261" s="40" t="inlineStr">
        <is>
          <t>iPad mini(第6世代) Wi-Fi+Cellular(256GB)</t>
        </is>
      </c>
      <c r="C261" s="41" t="inlineStr">
        <is>
          <t>M</t>
        </is>
      </c>
      <c r="D261" s="41" t="n">
        <v>2</v>
      </c>
      <c r="E261" s="30">
        <f>IF($B261="","",SUMIFS(機種販売入力!$H$4:$H$503,機種販売入力!$C$4:$C$503,$B261,機種販売入力!$B$4:$B$503,"&lt;&gt;YM"))</f>
        <v/>
      </c>
      <c r="F261" s="30">
        <f>IF($B261="","",N($D261)*E261)</f>
        <v/>
      </c>
      <c r="G261" s="57" t="n"/>
    </row>
    <row r="262">
      <c r="A262" s="41" t="inlineStr">
        <is>
          <t>Android Tab</t>
        </is>
      </c>
      <c r="B262" s="40" t="inlineStr">
        <is>
          <t>Lenovo 14e Chromebook Gen3</t>
        </is>
      </c>
      <c r="C262" s="41" t="inlineStr">
        <is>
          <t>M</t>
        </is>
      </c>
      <c r="D262" s="41" t="n">
        <v>2</v>
      </c>
      <c r="E262" s="30">
        <f>IF($B262="","",SUMIFS(機種販売入力!$H$4:$H$503,機種販売入力!$C$4:$C$503,$B262,機種販売入力!$B$4:$B$503,"&lt;&gt;YM"))</f>
        <v/>
      </c>
      <c r="F262" s="30">
        <f>IF($B262="","",N($D262)*E262)</f>
        <v/>
      </c>
      <c r="G262" s="57" t="n"/>
    </row>
    <row r="263">
      <c r="A263" s="41" t="inlineStr">
        <is>
          <t>Android Tab</t>
        </is>
      </c>
      <c r="B263" s="40" t="inlineStr">
        <is>
          <t>Lenovo TAB6</t>
        </is>
      </c>
      <c r="C263" s="41" t="inlineStr">
        <is>
          <t>L</t>
        </is>
      </c>
      <c r="D263" s="41" t="n">
        <v>2</v>
      </c>
      <c r="E263" s="30">
        <f>IF($B263="","",SUMIFS(機種販売入力!$H$4:$H$503,機種販売入力!$C$4:$C$503,$B263,機種販売入力!$B$4:$B$503,"&lt;&gt;YM"))</f>
        <v/>
      </c>
      <c r="F263" s="30">
        <f>IF($B263="","",N($D263)*E263)</f>
        <v/>
      </c>
      <c r="G263" s="57" t="n"/>
    </row>
    <row r="264">
      <c r="A264" s="41" t="inlineStr">
        <is>
          <t>Android Tab</t>
        </is>
      </c>
      <c r="B264" s="40" t="inlineStr">
        <is>
          <t>Lenovo TAB7</t>
        </is>
      </c>
      <c r="C264" s="41" t="inlineStr">
        <is>
          <t>L</t>
        </is>
      </c>
      <c r="D264" s="41" t="n">
        <v>2</v>
      </c>
      <c r="E264" s="30">
        <f>IF($B264="","",SUMIFS(機種販売入力!$H$4:$H$503,機種販売入力!$C$4:$C$503,$B264,機種販売入力!$B$4:$B$503,"&lt;&gt;YM"))</f>
        <v/>
      </c>
      <c r="F264" s="30">
        <f>IF($B264="","",N($D264)*E264)</f>
        <v/>
      </c>
      <c r="G264" s="57" t="n"/>
    </row>
    <row r="265">
      <c r="A265" s="41" t="inlineStr">
        <is>
          <t>Android Tab</t>
        </is>
      </c>
      <c r="B265" s="40" t="inlineStr">
        <is>
          <t>Lenovo TAB8</t>
        </is>
      </c>
      <c r="C265" s="41" t="inlineStr">
        <is>
          <t>L</t>
        </is>
      </c>
      <c r="D265" s="41" t="n">
        <v>2</v>
      </c>
      <c r="E265" s="30">
        <f>IF($B265="","",SUMIFS(機種販売入力!$H$4:$H$503,機種販売入力!$C$4:$C$503,$B265,機種販売入力!$B$4:$B$503,"&lt;&gt;YM"))</f>
        <v/>
      </c>
      <c r="F265" s="30">
        <f>IF($B265="","",N($D265)*E265)</f>
        <v/>
      </c>
      <c r="G265" s="57" t="n"/>
    </row>
    <row r="266">
      <c r="A266" s="41" t="inlineStr">
        <is>
          <t>Android Tab</t>
        </is>
      </c>
      <c r="B266" s="40" t="inlineStr">
        <is>
          <t>DIGNO Tab 2 5G</t>
        </is>
      </c>
      <c r="C266" s="41" t="inlineStr">
        <is>
          <t>M</t>
        </is>
      </c>
      <c r="D266" s="41" t="n">
        <v>2</v>
      </c>
      <c r="E266" s="30">
        <f>IF($B266="","",SUMIFS(機種販売入力!$H$4:$H$503,機種販売入力!$C$4:$C$503,$B266,機種販売入力!$B$4:$B$503,"&lt;&gt;YM"))</f>
        <v/>
      </c>
      <c r="F266" s="30">
        <f>IF($B266="","",N($D266)*E266)</f>
        <v/>
      </c>
      <c r="G266" s="57" t="n"/>
    </row>
    <row r="267">
      <c r="A267" s="41" t="n"/>
      <c r="B267" s="40" t="n"/>
      <c r="C267" s="41" t="n"/>
      <c r="D267" s="41" t="n"/>
      <c r="E267" s="30">
        <f>IF($B267="","",SUMIFS(機種販売入力!$H$4:$H$503,機種販売入力!$C$4:$C$503,$B267,機種販売入力!$B$4:$B$503,"&lt;&gt;YM"))</f>
        <v/>
      </c>
      <c r="F267" s="30">
        <f>IF($B267="","",N($D267)*E267)</f>
        <v/>
      </c>
      <c r="G267" s="57" t="n"/>
    </row>
    <row r="268">
      <c r="A268" s="41" t="n"/>
      <c r="B268" s="40" t="n"/>
      <c r="C268" s="41" t="n"/>
      <c r="D268" s="41" t="n"/>
      <c r="E268" s="30">
        <f>IF($B268="","",SUMIFS(機種販売入力!$H$4:$H$503,機種販売入力!$C$4:$C$503,$B268,機種販売入力!$B$4:$B$503,"&lt;&gt;YM"))</f>
        <v/>
      </c>
      <c r="F268" s="30">
        <f>IF($B268="","",N($D268)*E268)</f>
        <v/>
      </c>
      <c r="G268" s="57" t="n"/>
    </row>
    <row r="269">
      <c r="A269" s="41" t="n"/>
      <c r="B269" s="40" t="n"/>
      <c r="C269" s="41" t="n"/>
      <c r="D269" s="41" t="n"/>
      <c r="E269" s="30">
        <f>IF($B269="","",SUMIFS(機種販売入力!$H$4:$H$503,機種販売入力!$C$4:$C$503,$B269,機種販売入力!$B$4:$B$503,"&lt;&gt;YM"))</f>
        <v/>
      </c>
      <c r="F269" s="30">
        <f>IF($B269="","",N($D269)*E269)</f>
        <v/>
      </c>
      <c r="G269" s="57" t="n"/>
    </row>
    <row r="270">
      <c r="A270" s="41" t="n"/>
      <c r="B270" s="40" t="n"/>
      <c r="C270" s="41" t="n"/>
      <c r="D270" s="41" t="n"/>
      <c r="E270" s="30">
        <f>IF($B270="","",SUMIFS(機種販売入力!$H$4:$H$503,機種販売入力!$C$4:$C$503,$B270,機種販売入力!$B$4:$B$503,"&lt;&gt;YM"))</f>
        <v/>
      </c>
      <c r="F270" s="30">
        <f>IF($B270="","",N($D270)*E270)</f>
        <v/>
      </c>
      <c r="G270" s="57" t="n"/>
    </row>
    <row r="271">
      <c r="A271" s="41" t="n"/>
      <c r="B271" s="40" t="n"/>
      <c r="C271" s="41" t="n"/>
      <c r="D271" s="41" t="n"/>
      <c r="E271" s="30">
        <f>IF($B271="","",SUMIFS(機種販売入力!$H$4:$H$503,機種販売入力!$C$4:$C$503,$B271,機種販売入力!$B$4:$B$503,"&lt;&gt;YM"))</f>
        <v/>
      </c>
      <c r="F271" s="30">
        <f>IF($B271="","",N($D271)*E271)</f>
        <v/>
      </c>
      <c r="G271" s="57" t="n"/>
    </row>
    <row r="272">
      <c r="A272" s="41" t="n"/>
      <c r="B272" s="40" t="n"/>
      <c r="C272" s="41" t="n"/>
      <c r="D272" s="41" t="n"/>
      <c r="E272" s="30">
        <f>IF($B272="","",SUMIFS(機種販売入力!$H$4:$H$503,機種販売入力!$C$4:$C$503,$B272,機種販売入力!$B$4:$B$503,"&lt;&gt;YM"))</f>
        <v/>
      </c>
      <c r="F272" s="30">
        <f>IF($B272="","",N($D272)*E272)</f>
        <v/>
      </c>
      <c r="G272" s="57" t="n"/>
    </row>
    <row r="273">
      <c r="A273" s="41" t="n"/>
      <c r="B273" s="40" t="n"/>
      <c r="C273" s="41" t="n"/>
      <c r="D273" s="41" t="n"/>
      <c r="E273" s="30">
        <f>IF($B273="","",SUMIFS(機種販売入力!$H$4:$H$503,機種販売入力!$C$4:$C$503,$B273,機種販売入力!$B$4:$B$503,"&lt;&gt;YM"))</f>
        <v/>
      </c>
      <c r="F273" s="30">
        <f>IF($B273="","",N($D273)*E273)</f>
        <v/>
      </c>
      <c r="G273" s="57" t="n"/>
    </row>
    <row r="274">
      <c r="A274" s="41" t="n"/>
      <c r="B274" s="40" t="n"/>
      <c r="C274" s="41" t="n"/>
      <c r="D274" s="41" t="n"/>
      <c r="E274" s="30">
        <f>IF($B274="","",SUMIFS(機種販売入力!$H$4:$H$503,機種販売入力!$C$4:$C$503,$B274,機種販売入力!$B$4:$B$503,"&lt;&gt;YM"))</f>
        <v/>
      </c>
      <c r="F274" s="30">
        <f>IF($B274="","",N($D274)*E274)</f>
        <v/>
      </c>
      <c r="G274" s="57" t="n"/>
    </row>
    <row r="275">
      <c r="A275" s="41" t="n"/>
      <c r="B275" s="40" t="n"/>
      <c r="C275" s="41" t="n"/>
      <c r="D275" s="41" t="n"/>
      <c r="E275" s="30">
        <f>IF($B275="","",SUMIFS(機種販売入力!$H$4:$H$503,機種販売入力!$C$4:$C$503,$B275,機種販売入力!$B$4:$B$503,"&lt;&gt;YM"))</f>
        <v/>
      </c>
      <c r="F275" s="30">
        <f>IF($B275="","",N($D275)*E275)</f>
        <v/>
      </c>
      <c r="G275" s="57" t="n"/>
    </row>
    <row r="276">
      <c r="A276" s="41" t="n"/>
      <c r="B276" s="40" t="n"/>
      <c r="C276" s="41" t="n"/>
      <c r="D276" s="41" t="n"/>
      <c r="E276" s="30">
        <f>IF($B276="","",SUMIFS(機種販売入力!$H$4:$H$503,機種販売入力!$C$4:$C$503,$B276,機種販売入力!$B$4:$B$503,"&lt;&gt;YM"))</f>
        <v/>
      </c>
      <c r="F276" s="30">
        <f>IF($B276="","",N($D276)*E276)</f>
        <v/>
      </c>
      <c r="G276" s="57" t="n"/>
    </row>
    <row r="277">
      <c r="A277" s="41" t="n"/>
      <c r="B277" s="40" t="n"/>
      <c r="C277" s="41" t="n"/>
      <c r="D277" s="41" t="n"/>
      <c r="E277" s="30">
        <f>IF($B277="","",SUMIFS(機種販売入力!$H$4:$H$503,機種販売入力!$C$4:$C$503,$B277,機種販売入力!$B$4:$B$503,"&lt;&gt;YM"))</f>
        <v/>
      </c>
      <c r="F277" s="30">
        <f>IF($B277="","",N($D277)*E277)</f>
        <v/>
      </c>
      <c r="G277" s="57" t="n"/>
    </row>
    <row r="278">
      <c r="A278" s="41" t="n"/>
      <c r="B278" s="40" t="n"/>
      <c r="C278" s="41" t="n"/>
      <c r="D278" s="41" t="n"/>
      <c r="E278" s="30">
        <f>IF($B278="","",SUMIFS(機種販売入力!$H$4:$H$503,機種販売入力!$C$4:$C$503,$B278,機種販売入力!$B$4:$B$503,"&lt;&gt;YM"))</f>
        <v/>
      </c>
      <c r="F278" s="30">
        <f>IF($B278="","",N($D278)*E278)</f>
        <v/>
      </c>
      <c r="G278" s="57" t="n"/>
    </row>
    <row r="279">
      <c r="A279" s="41" t="n"/>
      <c r="B279" s="40" t="n"/>
      <c r="C279" s="41" t="n"/>
      <c r="D279" s="41" t="n"/>
      <c r="E279" s="30">
        <f>IF($B279="","",SUMIFS(機種販売入力!$H$4:$H$503,機種販売入力!$C$4:$C$503,$B279,機種販売入力!$B$4:$B$503,"&lt;&gt;YM"))</f>
        <v/>
      </c>
      <c r="F279" s="30">
        <f>IF($B279="","",N($D279)*E279)</f>
        <v/>
      </c>
      <c r="G279" s="57" t="n"/>
    </row>
    <row r="280">
      <c r="A280" s="41" t="n"/>
      <c r="B280" s="40" t="n"/>
      <c r="C280" s="41" t="n"/>
      <c r="D280" s="41" t="n"/>
      <c r="E280" s="30">
        <f>IF($B280="","",SUMIFS(機種販売入力!$H$4:$H$503,機種販売入力!$C$4:$C$503,$B280,機種販売入力!$B$4:$B$503,"&lt;&gt;YM"))</f>
        <v/>
      </c>
      <c r="F280" s="30">
        <f>IF($B280="","",N($D280)*E280)</f>
        <v/>
      </c>
      <c r="G280" s="57" t="n"/>
    </row>
    <row r="281">
      <c r="A281" s="41" t="n"/>
      <c r="B281" s="40" t="n"/>
      <c r="C281" s="41" t="n"/>
      <c r="D281" s="41" t="n"/>
      <c r="E281" s="30">
        <f>IF($B281="","",SUMIFS(機種販売入力!$H$4:$H$503,機種販売入力!$C$4:$C$503,$B281,機種販売入力!$B$4:$B$503,"&lt;&gt;YM"))</f>
        <v/>
      </c>
      <c r="F281" s="30">
        <f>IF($B281="","",N($D281)*E281)</f>
        <v/>
      </c>
      <c r="G281" s="57" t="n"/>
    </row>
    <row r="282">
      <c r="A282" s="41" t="n"/>
      <c r="B282" s="40" t="n"/>
      <c r="C282" s="41" t="n"/>
      <c r="D282" s="41" t="n"/>
      <c r="E282" s="30">
        <f>IF($B282="","",SUMIFS(機種販売入力!$H$4:$H$503,機種販売入力!$C$4:$C$503,$B282,機種販売入力!$B$4:$B$503,"&lt;&gt;YM"))</f>
        <v/>
      </c>
      <c r="F282" s="30">
        <f>IF($B282="","",N($D282)*E282)</f>
        <v/>
      </c>
      <c r="G282" s="57" t="n"/>
    </row>
    <row r="283">
      <c r="A283" s="41" t="n"/>
      <c r="B283" s="40" t="n"/>
      <c r="C283" s="41" t="n"/>
      <c r="D283" s="41" t="n"/>
      <c r="E283" s="30">
        <f>IF($B283="","",SUMIFS(機種販売入力!$H$4:$H$503,機種販売入力!$C$4:$C$503,$B283,機種販売入力!$B$4:$B$503,"&lt;&gt;YM"))</f>
        <v/>
      </c>
      <c r="F283" s="30">
        <f>IF($B283="","",N($D283)*E283)</f>
        <v/>
      </c>
      <c r="G283" s="57" t="n"/>
    </row>
    <row r="284">
      <c r="A284" s="41" t="n"/>
      <c r="B284" s="40" t="n"/>
      <c r="C284" s="41" t="n"/>
      <c r="D284" s="41" t="n"/>
      <c r="E284" s="30">
        <f>IF($B284="","",SUMIFS(機種販売入力!$H$4:$H$503,機種販売入力!$C$4:$C$503,$B284,機種販売入力!$B$4:$B$503,"&lt;&gt;YM"))</f>
        <v/>
      </c>
      <c r="F284" s="30">
        <f>IF($B284="","",N($D284)*E284)</f>
        <v/>
      </c>
      <c r="G284" s="57" t="n"/>
    </row>
    <row r="285">
      <c r="A285" s="41" t="n"/>
      <c r="B285" s="40" t="n"/>
      <c r="C285" s="41" t="n"/>
      <c r="D285" s="41" t="n"/>
      <c r="E285" s="30">
        <f>IF($B285="","",SUMIFS(機種販売入力!$H$4:$H$503,機種販売入力!$C$4:$C$503,$B285,機種販売入力!$B$4:$B$503,"&lt;&gt;YM"))</f>
        <v/>
      </c>
      <c r="F285" s="30">
        <f>IF($B285="","",N($D285)*E285)</f>
        <v/>
      </c>
      <c r="G285" s="57" t="n"/>
    </row>
    <row r="286">
      <c r="A286" s="41" t="n"/>
      <c r="B286" s="40" t="n"/>
      <c r="C286" s="41" t="n"/>
      <c r="D286" s="41" t="n"/>
      <c r="E286" s="30">
        <f>IF($B286="","",SUMIFS(機種販売入力!$H$4:$H$503,機種販売入力!$C$4:$C$503,$B286,機種販売入力!$B$4:$B$503,"&lt;&gt;YM"))</f>
        <v/>
      </c>
      <c r="F286" s="30">
        <f>IF($B286="","",N($D286)*E286)</f>
        <v/>
      </c>
      <c r="G286" s="57" t="n"/>
    </row>
    <row r="287">
      <c r="A287" s="41" t="n"/>
      <c r="B287" s="40" t="n"/>
      <c r="C287" s="41" t="n"/>
      <c r="D287" s="41" t="n"/>
      <c r="E287" s="30">
        <f>IF($B287="","",SUMIFS(機種販売入力!$H$4:$H$503,機種販売入力!$C$4:$C$503,$B287,機種販売入力!$B$4:$B$503,"&lt;&gt;YM"))</f>
        <v/>
      </c>
      <c r="F287" s="30">
        <f>IF($B287="","",N($D287)*E287)</f>
        <v/>
      </c>
      <c r="G287" s="57" t="n"/>
    </row>
    <row r="288">
      <c r="A288" s="41" t="n"/>
      <c r="B288" s="40" t="n"/>
      <c r="C288" s="41" t="n"/>
      <c r="D288" s="41" t="n"/>
      <c r="E288" s="30">
        <f>IF($B288="","",SUMIFS(機種販売入力!$H$4:$H$503,機種販売入力!$C$4:$C$503,$B288,機種販売入力!$B$4:$B$503,"&lt;&gt;YM"))</f>
        <v/>
      </c>
      <c r="F288" s="30">
        <f>IF($B288="","",N($D288)*E288)</f>
        <v/>
      </c>
      <c r="G288" s="57" t="n"/>
    </row>
    <row r="289">
      <c r="A289" s="41" t="n"/>
      <c r="B289" s="40" t="n"/>
      <c r="C289" s="41" t="n"/>
      <c r="D289" s="41" t="n"/>
      <c r="E289" s="30">
        <f>IF($B289="","",SUMIFS(機種販売入力!$H$4:$H$503,機種販売入力!$C$4:$C$503,$B289,機種販売入力!$B$4:$B$503,"&lt;&gt;YM"))</f>
        <v/>
      </c>
      <c r="F289" s="30">
        <f>IF($B289="","",N($D289)*E289)</f>
        <v/>
      </c>
      <c r="G289" s="57" t="n"/>
    </row>
    <row r="290">
      <c r="A290" s="41" t="n"/>
      <c r="B290" s="40" t="n"/>
      <c r="C290" s="41" t="n"/>
      <c r="D290" s="41" t="n"/>
      <c r="E290" s="30">
        <f>IF($B290="","",SUMIFS(機種販売入力!$H$4:$H$503,機種販売入力!$C$4:$C$503,$B290,機種販売入力!$B$4:$B$503,"&lt;&gt;YM"))</f>
        <v/>
      </c>
      <c r="F290" s="30">
        <f>IF($B290="","",N($D290)*E290)</f>
        <v/>
      </c>
      <c r="G290" s="57" t="n"/>
    </row>
    <row r="291">
      <c r="A291" s="41" t="n"/>
      <c r="B291" s="40" t="n"/>
      <c r="C291" s="41" t="n"/>
      <c r="D291" s="41" t="n"/>
      <c r="E291" s="30">
        <f>IF($B291="","",SUMIFS(機種販売入力!$H$4:$H$503,機種販売入力!$C$4:$C$503,$B291,機種販売入力!$B$4:$B$503,"&lt;&gt;YM"))</f>
        <v/>
      </c>
      <c r="F291" s="30">
        <f>IF($B291="","",N($D291)*E291)</f>
        <v/>
      </c>
      <c r="G291" s="57" t="n"/>
    </row>
    <row r="292">
      <c r="A292" s="41" t="n"/>
      <c r="B292" s="40" t="n"/>
      <c r="C292" s="41" t="n"/>
      <c r="D292" s="41" t="n"/>
      <c r="E292" s="30">
        <f>IF($B292="","",SUMIFS(機種販売入力!$H$4:$H$503,機種販売入力!$C$4:$C$503,$B292,機種販売入力!$B$4:$B$503,"&lt;&gt;YM"))</f>
        <v/>
      </c>
      <c r="F292" s="30">
        <f>IF($B292="","",N($D292)*E292)</f>
        <v/>
      </c>
      <c r="G292" s="57" t="n"/>
    </row>
    <row r="293">
      <c r="A293" s="41" t="n"/>
      <c r="B293" s="40" t="n"/>
      <c r="C293" s="41" t="n"/>
      <c r="D293" s="41" t="n"/>
      <c r="E293" s="30">
        <f>IF($B293="","",SUMIFS(機種販売入力!$H$4:$H$503,機種販売入力!$C$4:$C$503,$B293,機種販売入力!$B$4:$B$503,"&lt;&gt;YM"))</f>
        <v/>
      </c>
      <c r="F293" s="30">
        <f>IF($B293="","",N($D293)*E293)</f>
        <v/>
      </c>
      <c r="G293" s="57" t="n"/>
    </row>
    <row r="294">
      <c r="A294" s="41" t="n"/>
      <c r="B294" s="40" t="n"/>
      <c r="C294" s="41" t="n"/>
      <c r="D294" s="41" t="n"/>
      <c r="E294" s="30">
        <f>IF($B294="","",SUMIFS(機種販売入力!$H$4:$H$503,機種販売入力!$C$4:$C$503,$B294,機種販売入力!$B$4:$B$503,"&lt;&gt;YM"))</f>
        <v/>
      </c>
      <c r="F294" s="30">
        <f>IF($B294="","",N($D294)*E294)</f>
        <v/>
      </c>
      <c r="G294" s="57" t="n"/>
    </row>
    <row r="295">
      <c r="A295" s="41" t="n"/>
      <c r="B295" s="40" t="n"/>
      <c r="C295" s="41" t="n"/>
      <c r="D295" s="41" t="n"/>
      <c r="E295" s="30">
        <f>IF($B295="","",SUMIFS(機種販売入力!$H$4:$H$503,機種販売入力!$C$4:$C$503,$B295,機種販売入力!$B$4:$B$503,"&lt;&gt;YM"))</f>
        <v/>
      </c>
      <c r="F295" s="30">
        <f>IF($B295="","",N($D295)*E295)</f>
        <v/>
      </c>
      <c r="G295" s="57" t="n"/>
    </row>
    <row r="296">
      <c r="A296" s="41" t="n"/>
      <c r="B296" s="40" t="n"/>
      <c r="C296" s="41" t="n"/>
      <c r="D296" s="41" t="n"/>
      <c r="E296" s="30">
        <f>IF($B296="","",SUMIFS(機種販売入力!$H$4:$H$503,機種販売入力!$C$4:$C$503,$B296,機種販売入力!$B$4:$B$503,"&lt;&gt;YM"))</f>
        <v/>
      </c>
      <c r="F296" s="30">
        <f>IF($B296="","",N($D296)*E296)</f>
        <v/>
      </c>
      <c r="G296" s="57" t="n"/>
    </row>
    <row r="297">
      <c r="A297" s="41" t="n"/>
      <c r="B297" s="40" t="n"/>
      <c r="C297" s="41" t="n"/>
      <c r="D297" s="41" t="n"/>
      <c r="E297" s="30">
        <f>IF($B297="","",SUMIFS(機種販売入力!$H$4:$H$503,機種販売入力!$C$4:$C$503,$B297,機種販売入力!$B$4:$B$503,"&lt;&gt;YM"))</f>
        <v/>
      </c>
      <c r="F297" s="30">
        <f>IF($B297="","",N($D297)*E297)</f>
        <v/>
      </c>
      <c r="G297" s="57" t="n"/>
    </row>
    <row r="298">
      <c r="A298" s="41" t="n"/>
      <c r="B298" s="40" t="n"/>
      <c r="C298" s="41" t="n"/>
      <c r="D298" s="41" t="n"/>
      <c r="E298" s="30">
        <f>IF($B298="","",SUMIFS(機種販売入力!$H$4:$H$503,機種販売入力!$C$4:$C$503,$B298,機種販売入力!$B$4:$B$503,"&lt;&gt;YM"))</f>
        <v/>
      </c>
      <c r="F298" s="30">
        <f>IF($B298="","",N($D298)*E298)</f>
        <v/>
      </c>
      <c r="G298" s="57" t="n"/>
    </row>
    <row r="299">
      <c r="A299" s="41" t="n"/>
      <c r="B299" s="40" t="n"/>
      <c r="C299" s="41" t="n"/>
      <c r="D299" s="41" t="n"/>
      <c r="E299" s="30">
        <f>IF($B299="","",SUMIFS(機種販売入力!$H$4:$H$503,機種販売入力!$C$4:$C$503,$B299,機種販売入力!$B$4:$B$503,"&lt;&gt;YM"))</f>
        <v/>
      </c>
      <c r="F299" s="30">
        <f>IF($B299="","",N($D299)*E299)</f>
        <v/>
      </c>
      <c r="G299" s="57" t="n"/>
    </row>
    <row r="300">
      <c r="A300" s="41" t="n"/>
      <c r="B300" s="40" t="n"/>
      <c r="C300" s="41" t="n"/>
      <c r="D300" s="41" t="n"/>
      <c r="E300" s="30">
        <f>IF($B300="","",SUMIFS(機種販売入力!$H$4:$H$503,機種販売入力!$C$4:$C$503,$B300,機種販売入力!$B$4:$B$503,"&lt;&gt;YM"))</f>
        <v/>
      </c>
      <c r="F300" s="30">
        <f>IF($B300="","",N($D300)*E300)</f>
        <v/>
      </c>
      <c r="G300" s="57" t="n"/>
    </row>
    <row r="301">
      <c r="A301" s="41" t="n"/>
      <c r="B301" s="40" t="n"/>
      <c r="C301" s="41" t="n"/>
      <c r="D301" s="41" t="n"/>
      <c r="E301" s="30">
        <f>IF($B301="","",SUMIFS(機種販売入力!$H$4:$H$503,機種販売入力!$C$4:$C$503,$B301,機種販売入力!$B$4:$B$503,"&lt;&gt;YM"))</f>
        <v/>
      </c>
      <c r="F301" s="30">
        <f>IF($B301="","",N($D301)*E301)</f>
        <v/>
      </c>
      <c r="G301" s="57" t="n"/>
    </row>
    <row r="302">
      <c r="A302" s="41" t="n"/>
      <c r="B302" s="40" t="n"/>
      <c r="C302" s="41" t="n"/>
      <c r="D302" s="41" t="n"/>
      <c r="E302" s="30">
        <f>IF($B302="","",SUMIFS(機種販売入力!$H$4:$H$503,機種販売入力!$C$4:$C$503,$B302,機種販売入力!$B$4:$B$503,"&lt;&gt;YM"))</f>
        <v/>
      </c>
      <c r="F302" s="30">
        <f>IF($B302="","",N($D302)*E302)</f>
        <v/>
      </c>
      <c r="G302" s="57" t="n"/>
    </row>
    <row r="303">
      <c r="A303" s="41" t="n"/>
      <c r="B303" s="40" t="n"/>
      <c r="C303" s="41" t="n"/>
      <c r="D303" s="41" t="n"/>
      <c r="E303" s="30">
        <f>IF($B303="","",SUMIFS(機種販売入力!$H$4:$H$503,機種販売入力!$C$4:$C$503,$B303,機種販売入力!$B$4:$B$503,"&lt;&gt;YM"))</f>
        <v/>
      </c>
      <c r="F303" s="30">
        <f>IF($B303="","",N($D303)*E303)</f>
        <v/>
      </c>
      <c r="G303" s="57" t="n"/>
    </row>
    <row r="304">
      <c r="A304" s="41" t="n"/>
      <c r="B304" s="40" t="n"/>
      <c r="C304" s="41" t="n"/>
      <c r="D304" s="41" t="n"/>
      <c r="E304" s="30">
        <f>IF($B304="","",SUMIFS(機種販売入力!$H$4:$H$503,機種販売入力!$C$4:$C$503,$B304,機種販売入力!$B$4:$B$503,"&lt;&gt;YM"))</f>
        <v/>
      </c>
      <c r="F304" s="30">
        <f>IF($B304="","",N($D304)*E304)</f>
        <v/>
      </c>
      <c r="G304" s="57" t="n"/>
    </row>
    <row r="305">
      <c r="A305" s="41" t="n"/>
      <c r="B305" s="40" t="n"/>
      <c r="C305" s="41" t="n"/>
      <c r="D305" s="41" t="n"/>
      <c r="E305" s="30">
        <f>IF($B305="","",SUMIFS(機種販売入力!$H$4:$H$503,機種販売入力!$C$4:$C$503,$B305,機種販売入力!$B$4:$B$503,"&lt;&gt;YM"))</f>
        <v/>
      </c>
      <c r="F305" s="30">
        <f>IF($B305="","",N($D305)*E305)</f>
        <v/>
      </c>
      <c r="G305" s="57" t="n"/>
    </row>
    <row r="306">
      <c r="A306" s="41" t="n"/>
      <c r="B306" s="40" t="n"/>
      <c r="C306" s="41" t="n"/>
      <c r="D306" s="41" t="n"/>
      <c r="E306" s="30">
        <f>IF($B306="","",SUMIFS(機種販売入力!$H$4:$H$503,機種販売入力!$C$4:$C$503,$B306,機種販売入力!$B$4:$B$503,"&lt;&gt;YM"))</f>
        <v/>
      </c>
      <c r="F306" s="30">
        <f>IF($B306="","",N($D306)*E306)</f>
        <v/>
      </c>
      <c r="G306" s="57" t="n"/>
    </row>
    <row r="307">
      <c r="A307" s="41" t="n"/>
      <c r="B307" s="40" t="n"/>
      <c r="C307" s="41" t="n"/>
      <c r="D307" s="41" t="n"/>
      <c r="E307" s="30">
        <f>IF($B307="","",SUMIFS(機種販売入力!$H$4:$H$503,機種販売入力!$C$4:$C$503,$B307,機種販売入力!$B$4:$B$503,"&lt;&gt;YM"))</f>
        <v/>
      </c>
      <c r="F307" s="30">
        <f>IF($B307="","",N($D307)*E307)</f>
        <v/>
      </c>
      <c r="G307" s="57" t="n"/>
    </row>
    <row r="308">
      <c r="A308" s="41" t="n"/>
      <c r="B308" s="40" t="n"/>
      <c r="C308" s="41" t="n"/>
      <c r="D308" s="41" t="n"/>
      <c r="E308" s="30">
        <f>IF($B308="","",SUMIFS(機種販売入力!$H$4:$H$503,機種販売入力!$C$4:$C$503,$B308,機種販売入力!$B$4:$B$503,"&lt;&gt;YM"))</f>
        <v/>
      </c>
      <c r="F308" s="30">
        <f>IF($B308="","",N($D308)*E308)</f>
        <v/>
      </c>
      <c r="G308" s="57" t="n"/>
    </row>
    <row r="309">
      <c r="A309" s="41" t="n"/>
      <c r="B309" s="40" t="n"/>
      <c r="C309" s="41" t="n"/>
      <c r="D309" s="41" t="n"/>
      <c r="E309" s="30">
        <f>IF($B309="","",SUMIFS(機種販売入力!$H$4:$H$503,機種販売入力!$C$4:$C$503,$B309,機種販売入力!$B$4:$B$503,"&lt;&gt;YM"))</f>
        <v/>
      </c>
      <c r="F309" s="30">
        <f>IF($B309="","",N($D309)*E309)</f>
        <v/>
      </c>
      <c r="G309" s="57" t="n"/>
    </row>
    <row r="310">
      <c r="A310" s="41" t="n"/>
      <c r="B310" s="40" t="n"/>
      <c r="C310" s="41" t="n"/>
      <c r="D310" s="41" t="n"/>
      <c r="E310" s="30">
        <f>IF($B310="","",SUMIFS(機種販売入力!$H$4:$H$503,機種販売入力!$C$4:$C$503,$B310,機種販売入力!$B$4:$B$503,"&lt;&gt;YM"))</f>
        <v/>
      </c>
      <c r="F310" s="30">
        <f>IF($B310="","",N($D310)*E310)</f>
        <v/>
      </c>
      <c r="G310" s="57" t="n"/>
    </row>
    <row r="311">
      <c r="A311" s="41" t="n"/>
      <c r="B311" s="40" t="n"/>
      <c r="C311" s="41" t="n"/>
      <c r="D311" s="41" t="n"/>
      <c r="E311" s="30">
        <f>IF($B311="","",SUMIFS(機種販売入力!$H$4:$H$503,機種販売入力!$C$4:$C$503,$B311,機種販売入力!$B$4:$B$503,"&lt;&gt;YM"))</f>
        <v/>
      </c>
      <c r="F311" s="30">
        <f>IF($B311="","",N($D311)*E311)</f>
        <v/>
      </c>
      <c r="G311" s="57" t="n"/>
    </row>
    <row r="312">
      <c r="A312" s="41" t="n"/>
      <c r="B312" s="40" t="n"/>
      <c r="C312" s="41" t="n"/>
      <c r="D312" s="41" t="n"/>
      <c r="E312" s="30">
        <f>IF($B312="","",SUMIFS(機種販売入力!$H$4:$H$503,機種販売入力!$C$4:$C$503,$B312,機種販売入力!$B$4:$B$503,"&lt;&gt;YM"))</f>
        <v/>
      </c>
      <c r="F312" s="30">
        <f>IF($B312="","",N($D312)*E312)</f>
        <v/>
      </c>
      <c r="G312" s="57" t="n"/>
    </row>
    <row r="313">
      <c r="A313" s="41" t="n"/>
      <c r="B313" s="40" t="n"/>
      <c r="C313" s="41" t="n"/>
      <c r="D313" s="41" t="n"/>
      <c r="E313" s="30">
        <f>IF($B313="","",SUMIFS(機種販売入力!$H$4:$H$503,機種販売入力!$C$4:$C$503,$B313,機種販売入力!$B$4:$B$503,"&lt;&gt;YM"))</f>
        <v/>
      </c>
      <c r="F313" s="30">
        <f>IF($B313="","",N($D313)*E313)</f>
        <v/>
      </c>
      <c r="G313" s="57" t="n"/>
    </row>
    <row r="314">
      <c r="A314" s="41" t="n"/>
      <c r="B314" s="40" t="n"/>
      <c r="C314" s="41" t="n"/>
      <c r="D314" s="41" t="n"/>
      <c r="E314" s="30">
        <f>IF($B314="","",SUMIFS(機種販売入力!$H$4:$H$503,機種販売入力!$C$4:$C$503,$B314,機種販売入力!$B$4:$B$503,"&lt;&gt;YM"))</f>
        <v/>
      </c>
      <c r="F314" s="30">
        <f>IF($B314="","",N($D314)*E314)</f>
        <v/>
      </c>
      <c r="G314" s="57" t="n"/>
    </row>
    <row r="315">
      <c r="A315" s="41" t="n"/>
      <c r="B315" s="40" t="n"/>
      <c r="C315" s="41" t="n"/>
      <c r="D315" s="41" t="n"/>
      <c r="E315" s="30">
        <f>IF($B315="","",SUMIFS(機種販売入力!$H$4:$H$503,機種販売入力!$C$4:$C$503,$B315,機種販売入力!$B$4:$B$503,"&lt;&gt;YM"))</f>
        <v/>
      </c>
      <c r="F315" s="30">
        <f>IF($B315="","",N($D315)*E315)</f>
        <v/>
      </c>
      <c r="G315" s="57" t="n"/>
    </row>
    <row r="316">
      <c r="A316" s="41" t="n"/>
      <c r="B316" s="40" t="n"/>
      <c r="C316" s="41" t="n"/>
      <c r="D316" s="41" t="n"/>
      <c r="E316" s="30">
        <f>IF($B316="","",SUMIFS(機種販売入力!$H$4:$H$503,機種販売入力!$C$4:$C$503,$B316,機種販売入力!$B$4:$B$503,"&lt;&gt;YM"))</f>
        <v/>
      </c>
      <c r="F316" s="30">
        <f>IF($B316="","",N($D316)*E316)</f>
        <v/>
      </c>
      <c r="G316" s="57" t="n"/>
    </row>
    <row r="317">
      <c r="A317" s="41" t="n"/>
      <c r="B317" s="40" t="n"/>
      <c r="C317" s="41" t="n"/>
      <c r="D317" s="41" t="n"/>
      <c r="E317" s="30">
        <f>IF($B317="","",SUMIFS(機種販売入力!$H$4:$H$503,機種販売入力!$C$4:$C$503,$B317,機種販売入力!$B$4:$B$503,"&lt;&gt;YM"))</f>
        <v/>
      </c>
      <c r="F317" s="30">
        <f>IF($B317="","",N($D317)*E317)</f>
        <v/>
      </c>
      <c r="G317" s="57" t="n"/>
    </row>
    <row r="318">
      <c r="A318" s="41" t="n"/>
      <c r="B318" s="40" t="n"/>
      <c r="C318" s="41" t="n"/>
      <c r="D318" s="41" t="n"/>
      <c r="E318" s="30">
        <f>IF($B318="","",SUMIFS(機種販売入力!$H$4:$H$503,機種販売入力!$C$4:$C$503,$B318,機種販売入力!$B$4:$B$503,"&lt;&gt;YM"))</f>
        <v/>
      </c>
      <c r="F318" s="30">
        <f>IF($B318="","",N($D318)*E318)</f>
        <v/>
      </c>
      <c r="G318" s="57" t="n"/>
    </row>
    <row r="319">
      <c r="A319" s="41" t="n"/>
      <c r="B319" s="40" t="n"/>
      <c r="C319" s="41" t="n"/>
      <c r="D319" s="41" t="n"/>
      <c r="E319" s="30">
        <f>IF($B319="","",SUMIFS(機種販売入力!$H$4:$H$503,機種販売入力!$C$4:$C$503,$B319,機種販売入力!$B$4:$B$503,"&lt;&gt;YM"))</f>
        <v/>
      </c>
      <c r="F319" s="30">
        <f>IF($B319="","",N($D319)*E319)</f>
        <v/>
      </c>
      <c r="G319" s="57" t="n"/>
    </row>
    <row r="320">
      <c r="A320" s="41" t="n"/>
      <c r="B320" s="40" t="n"/>
      <c r="C320" s="41" t="n"/>
      <c r="D320" s="41" t="n"/>
      <c r="E320" s="30">
        <f>IF($B320="","",SUMIFS(機種販売入力!$H$4:$H$503,機種販売入力!$C$4:$C$503,$B320,機種販売入力!$B$4:$B$503,"&lt;&gt;YM"))</f>
        <v/>
      </c>
      <c r="F320" s="30">
        <f>IF($B320="","",N($D320)*E320)</f>
        <v/>
      </c>
      <c r="G320" s="57" t="n"/>
    </row>
    <row r="321">
      <c r="A321" s="41" t="n"/>
      <c r="B321" s="40" t="n"/>
      <c r="C321" s="41" t="n"/>
      <c r="D321" s="41" t="n"/>
      <c r="E321" s="30">
        <f>IF($B321="","",SUMIFS(機種販売入力!$H$4:$H$503,機種販売入力!$C$4:$C$503,$B321,機種販売入力!$B$4:$B$503,"&lt;&gt;YM"))</f>
        <v/>
      </c>
      <c r="F321" s="30">
        <f>IF($B321="","",N($D321)*E321)</f>
        <v/>
      </c>
      <c r="G321" s="57" t="n"/>
    </row>
    <row r="322">
      <c r="A322" s="41" t="n"/>
      <c r="B322" s="40" t="n"/>
      <c r="C322" s="41" t="n"/>
      <c r="D322" s="41" t="n"/>
      <c r="E322" s="30">
        <f>IF($B322="","",SUMIFS(機種販売入力!$H$4:$H$503,機種販売入力!$C$4:$C$503,$B322,機種販売入力!$B$4:$B$503,"&lt;&gt;YM"))</f>
        <v/>
      </c>
      <c r="F322" s="30">
        <f>IF($B322="","",N($D322)*E322)</f>
        <v/>
      </c>
      <c r="G322" s="57" t="n"/>
    </row>
    <row r="323">
      <c r="A323" s="41" t="n"/>
      <c r="B323" s="40" t="n"/>
      <c r="C323" s="41" t="n"/>
      <c r="D323" s="41" t="n"/>
      <c r="E323" s="30">
        <f>IF($B323="","",SUMIFS(機種販売入力!$H$4:$H$503,機種販売入力!$C$4:$C$503,$B323,機種販売入力!$B$4:$B$503,"&lt;&gt;YM"))</f>
        <v/>
      </c>
      <c r="F323" s="30">
        <f>IF($B323="","",N($D323)*E323)</f>
        <v/>
      </c>
      <c r="G323" s="57" t="n"/>
    </row>
    <row r="324">
      <c r="A324" s="41" t="n"/>
      <c r="B324" s="40" t="n"/>
      <c r="C324" s="41" t="n"/>
      <c r="D324" s="41" t="n"/>
      <c r="E324" s="30">
        <f>IF($B324="","",SUMIFS(機種販売入力!$H$4:$H$503,機種販売入力!$C$4:$C$503,$B324,機種販売入力!$B$4:$B$503,"&lt;&gt;YM"))</f>
        <v/>
      </c>
      <c r="F324" s="30">
        <f>IF($B324="","",N($D324)*E324)</f>
        <v/>
      </c>
      <c r="G324" s="57" t="n"/>
    </row>
    <row r="325">
      <c r="A325" s="41" t="n"/>
      <c r="B325" s="40" t="n"/>
      <c r="C325" s="41" t="n"/>
      <c r="D325" s="41" t="n"/>
      <c r="E325" s="30">
        <f>IF($B325="","",SUMIFS(機種販売入力!$H$4:$H$503,機種販売入力!$C$4:$C$503,$B325,機種販売入力!$B$4:$B$503,"&lt;&gt;YM"))</f>
        <v/>
      </c>
      <c r="F325" s="30">
        <f>IF($B325="","",N($D325)*E325)</f>
        <v/>
      </c>
      <c r="G325" s="57" t="n"/>
    </row>
    <row r="326">
      <c r="A326" s="41" t="n"/>
      <c r="B326" s="40" t="n"/>
      <c r="C326" s="41" t="n"/>
      <c r="D326" s="41" t="n"/>
      <c r="E326" s="30">
        <f>IF($B326="","",SUMIFS(機種販売入力!$H$4:$H$503,機種販売入力!$C$4:$C$503,$B326,機種販売入力!$B$4:$B$503,"&lt;&gt;YM"))</f>
        <v/>
      </c>
      <c r="F326" s="30">
        <f>IF($B326="","",N($D326)*E326)</f>
        <v/>
      </c>
      <c r="G326" s="57" t="n"/>
    </row>
    <row r="327">
      <c r="A327" s="41" t="n"/>
      <c r="B327" s="40" t="n"/>
      <c r="C327" s="41" t="n"/>
      <c r="D327" s="41" t="n"/>
      <c r="E327" s="30">
        <f>IF($B327="","",SUMIFS(機種販売入力!$H$4:$H$503,機種販売入力!$C$4:$C$503,$B327,機種販売入力!$B$4:$B$503,"&lt;&gt;YM"))</f>
        <v/>
      </c>
      <c r="F327" s="30">
        <f>IF($B327="","",N($D327)*E327)</f>
        <v/>
      </c>
      <c r="G327" s="57" t="n"/>
    </row>
    <row r="328">
      <c r="A328" s="41" t="n"/>
      <c r="B328" s="40" t="n"/>
      <c r="C328" s="41" t="n"/>
      <c r="D328" s="41" t="n"/>
      <c r="E328" s="30">
        <f>IF($B328="","",SUMIFS(機種販売入力!$H$4:$H$503,機種販売入力!$C$4:$C$503,$B328,機種販売入力!$B$4:$B$503,"&lt;&gt;YM"))</f>
        <v/>
      </c>
      <c r="F328" s="30">
        <f>IF($B328="","",N($D328)*E328)</f>
        <v/>
      </c>
      <c r="G328" s="57" t="n"/>
    </row>
    <row r="329">
      <c r="A329" s="41" t="n"/>
      <c r="B329" s="40" t="n"/>
      <c r="C329" s="41" t="n"/>
      <c r="D329" s="41" t="n"/>
      <c r="E329" s="30">
        <f>IF($B329="","",SUMIFS(機種販売入力!$H$4:$H$503,機種販売入力!$C$4:$C$503,$B329,機種販売入力!$B$4:$B$503,"&lt;&gt;YM"))</f>
        <v/>
      </c>
      <c r="F329" s="30">
        <f>IF($B329="","",N($D329)*E329)</f>
        <v/>
      </c>
      <c r="G329" s="57" t="n"/>
    </row>
    <row r="330">
      <c r="A330" s="41" t="n"/>
      <c r="B330" s="40" t="n"/>
      <c r="C330" s="41" t="n"/>
      <c r="D330" s="41" t="n"/>
      <c r="E330" s="30">
        <f>IF($B330="","",SUMIFS(機種販売入力!$H$4:$H$503,機種販売入力!$C$4:$C$503,$B330,機種販売入力!$B$4:$B$503,"&lt;&gt;YM"))</f>
        <v/>
      </c>
      <c r="F330" s="30">
        <f>IF($B330="","",N($D330)*E330)</f>
        <v/>
      </c>
      <c r="G330" s="57" t="n"/>
    </row>
    <row r="331">
      <c r="A331" s="41" t="n"/>
      <c r="B331" s="40" t="n"/>
      <c r="C331" s="41" t="n"/>
      <c r="D331" s="41" t="n"/>
      <c r="E331" s="30">
        <f>IF($B331="","",SUMIFS(機種販売入力!$H$4:$H$503,機種販売入力!$C$4:$C$503,$B331,機種販売入力!$B$4:$B$503,"&lt;&gt;YM"))</f>
        <v/>
      </c>
      <c r="F331" s="30">
        <f>IF($B331="","",N($D331)*E331)</f>
        <v/>
      </c>
      <c r="G331" s="57" t="n"/>
    </row>
    <row r="332">
      <c r="A332" s="41" t="n"/>
      <c r="B332" s="40" t="n"/>
      <c r="C332" s="41" t="n"/>
      <c r="D332" s="41" t="n"/>
      <c r="E332" s="30">
        <f>IF($B332="","",SUMIFS(機種販売入力!$H$4:$H$503,機種販売入力!$C$4:$C$503,$B332,機種販売入力!$B$4:$B$503,"&lt;&gt;YM"))</f>
        <v/>
      </c>
      <c r="F332" s="30">
        <f>IF($B332="","",N($D332)*E332)</f>
        <v/>
      </c>
      <c r="G332" s="57" t="n"/>
    </row>
    <row r="333">
      <c r="A333" s="41" t="n"/>
      <c r="B333" s="40" t="n"/>
      <c r="C333" s="41" t="n"/>
      <c r="D333" s="41" t="n"/>
      <c r="E333" s="30">
        <f>IF($B333="","",SUMIFS(機種販売入力!$H$4:$H$503,機種販売入力!$C$4:$C$503,$B333,機種販売入力!$B$4:$B$503,"&lt;&gt;YM"))</f>
        <v/>
      </c>
      <c r="F333" s="30">
        <f>IF($B333="","",N($D333)*E333)</f>
        <v/>
      </c>
      <c r="G333" s="57" t="n"/>
    </row>
    <row r="334">
      <c r="A334" s="41" t="n"/>
      <c r="B334" s="40" t="n"/>
      <c r="C334" s="41" t="n"/>
      <c r="D334" s="41" t="n"/>
      <c r="E334" s="30">
        <f>IF($B334="","",SUMIFS(機種販売入力!$H$4:$H$503,機種販売入力!$C$4:$C$503,$B334,機種販売入力!$B$4:$B$503,"&lt;&gt;YM"))</f>
        <v/>
      </c>
      <c r="F334" s="30">
        <f>IF($B334="","",N($D334)*E334)</f>
        <v/>
      </c>
      <c r="G334" s="57" t="n"/>
    </row>
    <row r="335">
      <c r="A335" s="41" t="n"/>
      <c r="B335" s="40" t="n"/>
      <c r="C335" s="41" t="n"/>
      <c r="D335" s="41" t="n"/>
      <c r="E335" s="30">
        <f>IF($B335="","",SUMIFS(機種販売入力!$H$4:$H$503,機種販売入力!$C$4:$C$503,$B335,機種販売入力!$B$4:$B$503,"&lt;&gt;YM"))</f>
        <v/>
      </c>
      <c r="F335" s="30">
        <f>IF($B335="","",N($D335)*E335)</f>
        <v/>
      </c>
      <c r="G335" s="57" t="n"/>
    </row>
    <row r="336">
      <c r="A336" s="41" t="n"/>
      <c r="B336" s="40" t="n"/>
      <c r="C336" s="41" t="n"/>
      <c r="D336" s="41" t="n"/>
      <c r="E336" s="30">
        <f>IF($B336="","",SUMIFS(機種販売入力!$H$4:$H$503,機種販売入力!$C$4:$C$503,$B336,機種販売入力!$B$4:$B$503,"&lt;&gt;YM"))</f>
        <v/>
      </c>
      <c r="F336" s="30">
        <f>IF($B336="","",N($D336)*E336)</f>
        <v/>
      </c>
      <c r="G336" s="57" t="n"/>
    </row>
    <row r="337">
      <c r="A337" s="41" t="n"/>
      <c r="B337" s="40" t="n"/>
      <c r="C337" s="41" t="n"/>
      <c r="D337" s="41" t="n"/>
      <c r="E337" s="30">
        <f>IF($B337="","",SUMIFS(機種販売入力!$H$4:$H$503,機種販売入力!$C$4:$C$503,$B337,機種販売入力!$B$4:$B$503,"&lt;&gt;YM"))</f>
        <v/>
      </c>
      <c r="F337" s="30">
        <f>IF($B337="","",N($D337)*E337)</f>
        <v/>
      </c>
      <c r="G337" s="57" t="n"/>
    </row>
    <row r="338">
      <c r="A338" s="41" t="n"/>
      <c r="B338" s="40" t="n"/>
      <c r="C338" s="41" t="n"/>
      <c r="D338" s="41" t="n"/>
      <c r="E338" s="30">
        <f>IF($B338="","",SUMIFS(機種販売入力!$H$4:$H$503,機種販売入力!$C$4:$C$503,$B338,機種販売入力!$B$4:$B$503,"&lt;&gt;YM"))</f>
        <v/>
      </c>
      <c r="F338" s="30">
        <f>IF($B338="","",N($D338)*E338)</f>
        <v/>
      </c>
      <c r="G338" s="57" t="n"/>
    </row>
    <row r="339">
      <c r="A339" s="41" t="n"/>
      <c r="B339" s="40" t="n"/>
      <c r="C339" s="41" t="n"/>
      <c r="D339" s="41" t="n"/>
      <c r="E339" s="30">
        <f>IF($B339="","",SUMIFS(機種販売入力!$H$4:$H$503,機種販売入力!$C$4:$C$503,$B339,機種販売入力!$B$4:$B$503,"&lt;&gt;YM"))</f>
        <v/>
      </c>
      <c r="F339" s="30">
        <f>IF($B339="","",N($D339)*E339)</f>
        <v/>
      </c>
      <c r="G339" s="57" t="n"/>
    </row>
    <row r="340">
      <c r="A340" s="41" t="n"/>
      <c r="B340" s="40" t="n"/>
      <c r="C340" s="41" t="n"/>
      <c r="D340" s="41" t="n"/>
      <c r="E340" s="30">
        <f>IF($B340="","",SUMIFS(機種販売入力!$H$4:$H$503,機種販売入力!$C$4:$C$503,$B340,機種販売入力!$B$4:$B$503,"&lt;&gt;YM"))</f>
        <v/>
      </c>
      <c r="F340" s="30">
        <f>IF($B340="","",N($D340)*E340)</f>
        <v/>
      </c>
      <c r="G340" s="57" t="n"/>
    </row>
    <row r="341">
      <c r="A341" s="41" t="n"/>
      <c r="B341" s="40" t="n"/>
      <c r="C341" s="41" t="n"/>
      <c r="D341" s="41" t="n"/>
      <c r="E341" s="30">
        <f>IF($B341="","",SUMIFS(機種販売入力!$H$4:$H$503,機種販売入力!$C$4:$C$503,$B341,機種販売入力!$B$4:$B$503,"&lt;&gt;YM"))</f>
        <v/>
      </c>
      <c r="F341" s="30">
        <f>IF($B341="","",N($D341)*E341)</f>
        <v/>
      </c>
      <c r="G341" s="57" t="n"/>
    </row>
    <row r="342">
      <c r="A342" s="41" t="n"/>
      <c r="B342" s="40" t="n"/>
      <c r="C342" s="41" t="n"/>
      <c r="D342" s="41" t="n"/>
      <c r="E342" s="30">
        <f>IF($B342="","",SUMIFS(機種販売入力!$H$4:$H$503,機種販売入力!$C$4:$C$503,$B342,機種販売入力!$B$4:$B$503,"&lt;&gt;YM"))</f>
        <v/>
      </c>
      <c r="F342" s="30">
        <f>IF($B342="","",N($D342)*E342)</f>
        <v/>
      </c>
      <c r="G342" s="57" t="n"/>
    </row>
    <row r="343">
      <c r="A343" s="41" t="n"/>
      <c r="B343" s="40" t="n"/>
      <c r="C343" s="41" t="n"/>
      <c r="D343" s="41" t="n"/>
      <c r="E343" s="30">
        <f>IF($B343="","",SUMIFS(機種販売入力!$H$4:$H$503,機種販売入力!$C$4:$C$503,$B343,機種販売入力!$B$4:$B$503,"&lt;&gt;YM"))</f>
        <v/>
      </c>
      <c r="F343" s="30">
        <f>IF($B343="","",N($D343)*E343)</f>
        <v/>
      </c>
      <c r="G343" s="57" t="n"/>
    </row>
    <row r="344">
      <c r="A344" s="41" t="n"/>
      <c r="B344" s="40" t="n"/>
      <c r="C344" s="41" t="n"/>
      <c r="D344" s="41" t="n"/>
      <c r="E344" s="30">
        <f>IF($B344="","",SUMIFS(機種販売入力!$H$4:$H$503,機種販売入力!$C$4:$C$503,$B344,機種販売入力!$B$4:$B$503,"&lt;&gt;YM"))</f>
        <v/>
      </c>
      <c r="F344" s="30">
        <f>IF($B344="","",N($D344)*E344)</f>
        <v/>
      </c>
      <c r="G344" s="57" t="n"/>
    </row>
    <row r="345">
      <c r="A345" s="41" t="n"/>
      <c r="B345" s="40" t="n"/>
      <c r="C345" s="41" t="n"/>
      <c r="D345" s="41" t="n"/>
      <c r="E345" s="30">
        <f>IF($B345="","",SUMIFS(機種販売入力!$H$4:$H$503,機種販売入力!$C$4:$C$503,$B345,機種販売入力!$B$4:$B$503,"&lt;&gt;YM"))</f>
        <v/>
      </c>
      <c r="F345" s="30">
        <f>IF($B345="","",N($D345)*E345)</f>
        <v/>
      </c>
      <c r="G345" s="57" t="n"/>
    </row>
    <row r="346">
      <c r="A346" s="41" t="n"/>
      <c r="B346" s="40" t="n"/>
      <c r="C346" s="41" t="n"/>
      <c r="D346" s="41" t="n"/>
      <c r="E346" s="30">
        <f>IF($B346="","",SUMIFS(機種販売入力!$H$4:$H$503,機種販売入力!$C$4:$C$503,$B346,機種販売入力!$B$4:$B$503,"&lt;&gt;YM"))</f>
        <v/>
      </c>
      <c r="F346" s="30">
        <f>IF($B346="","",N($D346)*E346)</f>
        <v/>
      </c>
      <c r="G346" s="57" t="n"/>
    </row>
    <row r="347">
      <c r="A347" s="41" t="n"/>
      <c r="B347" s="40" t="n"/>
      <c r="C347" s="41" t="n"/>
      <c r="D347" s="41" t="n"/>
      <c r="E347" s="30">
        <f>IF($B347="","",SUMIFS(機種販売入力!$H$4:$H$503,機種販売入力!$C$4:$C$503,$B347,機種販売入力!$B$4:$B$503,"&lt;&gt;YM"))</f>
        <v/>
      </c>
      <c r="F347" s="30">
        <f>IF($B347="","",N($D347)*E347)</f>
        <v/>
      </c>
      <c r="G347" s="57" t="n"/>
    </row>
    <row r="348">
      <c r="A348" s="41" t="n"/>
      <c r="B348" s="40" t="n"/>
      <c r="C348" s="41" t="n"/>
      <c r="D348" s="41" t="n"/>
      <c r="E348" s="30">
        <f>IF($B348="","",SUMIFS(機種販売入力!$H$4:$H$503,機種販売入力!$C$4:$C$503,$B348,機種販売入力!$B$4:$B$503,"&lt;&gt;YM"))</f>
        <v/>
      </c>
      <c r="F348" s="30">
        <f>IF($B348="","",N($D348)*E348)</f>
        <v/>
      </c>
      <c r="G348" s="57" t="n"/>
    </row>
    <row r="349">
      <c r="A349" s="41" t="n"/>
      <c r="B349" s="40" t="n"/>
      <c r="C349" s="41" t="n"/>
      <c r="D349" s="41" t="n"/>
      <c r="E349" s="30">
        <f>IF($B349="","",SUMIFS(機種販売入力!$H$4:$H$503,機種販売入力!$C$4:$C$503,$B349,機種販売入力!$B$4:$B$503,"&lt;&gt;YM"))</f>
        <v/>
      </c>
      <c r="F349" s="30">
        <f>IF($B349="","",N($D349)*E349)</f>
        <v/>
      </c>
      <c r="G349" s="57" t="n"/>
    </row>
    <row r="350">
      <c r="A350" s="41" t="n"/>
      <c r="B350" s="40" t="n"/>
      <c r="C350" s="41" t="n"/>
      <c r="D350" s="41" t="n"/>
      <c r="E350" s="30">
        <f>IF($B350="","",SUMIFS(機種販売入力!$H$4:$H$503,機種販売入力!$C$4:$C$503,$B350,機種販売入力!$B$4:$B$503,"&lt;&gt;YM"))</f>
        <v/>
      </c>
      <c r="F350" s="30">
        <f>IF($B350="","",N($D350)*E350)</f>
        <v/>
      </c>
      <c r="G350" s="57" t="n"/>
    </row>
    <row r="351">
      <c r="A351" s="41" t="n"/>
      <c r="B351" s="40" t="n"/>
      <c r="C351" s="41" t="n"/>
      <c r="D351" s="41" t="n"/>
      <c r="E351" s="30">
        <f>IF($B351="","",SUMIFS(機種販売入力!$H$4:$H$503,機種販売入力!$C$4:$C$503,$B351,機種販売入力!$B$4:$B$503,"&lt;&gt;YM"))</f>
        <v/>
      </c>
      <c r="F351" s="30">
        <f>IF($B351="","",N($D351)*E351)</f>
        <v/>
      </c>
      <c r="G351" s="57" t="n"/>
    </row>
    <row r="352">
      <c r="A352" s="41" t="n"/>
      <c r="B352" s="40" t="n"/>
      <c r="C352" s="41" t="n"/>
      <c r="D352" s="41" t="n"/>
      <c r="E352" s="30">
        <f>IF($B352="","",SUMIFS(機種販売入力!$H$4:$H$503,機種販売入力!$C$4:$C$503,$B352,機種販売入力!$B$4:$B$503,"&lt;&gt;YM"))</f>
        <v/>
      </c>
      <c r="F352" s="30">
        <f>IF($B352="","",N($D352)*E352)</f>
        <v/>
      </c>
      <c r="G352" s="57" t="n"/>
    </row>
    <row r="353">
      <c r="A353" s="41" t="n"/>
      <c r="B353" s="40" t="n"/>
      <c r="C353" s="41" t="n"/>
      <c r="D353" s="41" t="n"/>
      <c r="E353" s="30">
        <f>IF($B353="","",SUMIFS(機種販売入力!$H$4:$H$503,機種販売入力!$C$4:$C$503,$B353,機種販売入力!$B$4:$B$503,"&lt;&gt;YM"))</f>
        <v/>
      </c>
      <c r="F353" s="30">
        <f>IF($B353="","",N($D353)*E353)</f>
        <v/>
      </c>
      <c r="G353" s="57" t="n"/>
    </row>
    <row r="354">
      <c r="A354" s="41" t="n"/>
      <c r="B354" s="40" t="n"/>
      <c r="C354" s="41" t="n"/>
      <c r="D354" s="41" t="n"/>
      <c r="E354" s="30">
        <f>IF($B354="","",SUMIFS(機種販売入力!$H$4:$H$503,機種販売入力!$C$4:$C$503,$B354,機種販売入力!$B$4:$B$503,"&lt;&gt;YM"))</f>
        <v/>
      </c>
      <c r="F354" s="30">
        <f>IF($B354="","",N($D354)*E354)</f>
        <v/>
      </c>
      <c r="G354" s="57" t="n"/>
    </row>
    <row r="355">
      <c r="A355" s="41" t="n"/>
      <c r="B355" s="40" t="n"/>
      <c r="C355" s="41" t="n"/>
      <c r="D355" s="41" t="n"/>
      <c r="E355" s="30">
        <f>IF($B355="","",SUMIFS(機種販売入力!$H$4:$H$503,機種販売入力!$C$4:$C$503,$B355,機種販売入力!$B$4:$B$503,"&lt;&gt;YM"))</f>
        <v/>
      </c>
      <c r="F355" s="30">
        <f>IF($B355="","",N($D355)*E355)</f>
        <v/>
      </c>
      <c r="G355" s="57" t="n"/>
    </row>
    <row r="356">
      <c r="A356" s="41" t="n"/>
      <c r="B356" s="40" t="n"/>
      <c r="C356" s="41" t="n"/>
      <c r="D356" s="41" t="n"/>
      <c r="E356" s="30">
        <f>IF($B356="","",SUMIFS(機種販売入力!$H$4:$H$503,機種販売入力!$C$4:$C$503,$B356,機種販売入力!$B$4:$B$503,"&lt;&gt;YM"))</f>
        <v/>
      </c>
      <c r="F356" s="30">
        <f>IF($B356="","",N($D356)*E356)</f>
        <v/>
      </c>
      <c r="G356" s="57" t="n"/>
    </row>
    <row r="357">
      <c r="A357" s="41" t="n"/>
      <c r="B357" s="40" t="n"/>
      <c r="C357" s="41" t="n"/>
      <c r="D357" s="41" t="n"/>
      <c r="E357" s="30">
        <f>IF($B357="","",SUMIFS(機種販売入力!$H$4:$H$503,機種販売入力!$C$4:$C$503,$B357,機種販売入力!$B$4:$B$503,"&lt;&gt;YM"))</f>
        <v/>
      </c>
      <c r="F357" s="30">
        <f>IF($B357="","",N($D357)*E357)</f>
        <v/>
      </c>
      <c r="G357" s="57" t="n"/>
    </row>
    <row r="358">
      <c r="A358" s="41" t="n"/>
      <c r="B358" s="40" t="n"/>
      <c r="C358" s="41" t="n"/>
      <c r="D358" s="41" t="n"/>
      <c r="E358" s="30">
        <f>IF($B358="","",SUMIFS(機種販売入力!$H$4:$H$503,機種販売入力!$C$4:$C$503,$B358,機種販売入力!$B$4:$B$503,"&lt;&gt;YM"))</f>
        <v/>
      </c>
      <c r="F358" s="30">
        <f>IF($B358="","",N($D358)*E358)</f>
        <v/>
      </c>
      <c r="G358" s="57" t="n"/>
    </row>
    <row r="359">
      <c r="A359" s="41" t="n"/>
      <c r="B359" s="40" t="n"/>
      <c r="C359" s="41" t="n"/>
      <c r="D359" s="41" t="n"/>
      <c r="E359" s="30">
        <f>IF($B359="","",SUMIFS(機種販売入力!$H$4:$H$503,機種販売入力!$C$4:$C$503,$B359,機種販売入力!$B$4:$B$503,"&lt;&gt;YM"))</f>
        <v/>
      </c>
      <c r="F359" s="30">
        <f>IF($B359="","",N($D359)*E359)</f>
        <v/>
      </c>
      <c r="G359" s="57" t="n"/>
    </row>
    <row r="360">
      <c r="A360" s="41" t="n"/>
      <c r="B360" s="40" t="n"/>
      <c r="C360" s="41" t="n"/>
      <c r="D360" s="41" t="n"/>
      <c r="E360" s="30">
        <f>IF($B360="","",SUMIFS(機種販売入力!$H$4:$H$503,機種販売入力!$C$4:$C$503,$B360,機種販売入力!$B$4:$B$503,"&lt;&gt;YM"))</f>
        <v/>
      </c>
      <c r="F360" s="30">
        <f>IF($B360="","",N($D360)*E360)</f>
        <v/>
      </c>
      <c r="G360" s="57" t="n"/>
    </row>
    <row r="361">
      <c r="A361" s="41" t="n"/>
      <c r="B361" s="40" t="n"/>
      <c r="C361" s="41" t="n"/>
      <c r="D361" s="41" t="n"/>
      <c r="E361" s="30">
        <f>IF($B361="","",SUMIFS(機種販売入力!$H$4:$H$503,機種販売入力!$C$4:$C$503,$B361,機種販売入力!$B$4:$B$503,"&lt;&gt;YM"))</f>
        <v/>
      </c>
      <c r="F361" s="30">
        <f>IF($B361="","",N($D361)*E361)</f>
        <v/>
      </c>
      <c r="G361" s="57" t="n"/>
    </row>
    <row r="362">
      <c r="A362" s="41" t="n"/>
      <c r="B362" s="40" t="n"/>
      <c r="C362" s="41" t="n"/>
      <c r="D362" s="41" t="n"/>
      <c r="E362" s="30">
        <f>IF($B362="","",SUMIFS(機種販売入力!$H$4:$H$503,機種販売入力!$C$4:$C$503,$B362,機種販売入力!$B$4:$B$503,"&lt;&gt;YM"))</f>
        <v/>
      </c>
      <c r="F362" s="30">
        <f>IF($B362="","",N($D362)*E362)</f>
        <v/>
      </c>
      <c r="G362" s="57" t="n"/>
    </row>
    <row r="363">
      <c r="A363" s="41" t="n"/>
      <c r="B363" s="40" t="n"/>
      <c r="C363" s="41" t="n"/>
      <c r="D363" s="41" t="n"/>
      <c r="E363" s="30">
        <f>IF($B363="","",SUMIFS(機種販売入力!$H$4:$H$503,機種販売入力!$C$4:$C$503,$B363,機種販売入力!$B$4:$B$503,"&lt;&gt;YM"))</f>
        <v/>
      </c>
      <c r="F363" s="30">
        <f>IF($B363="","",N($D363)*E363)</f>
        <v/>
      </c>
      <c r="G363" s="5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</t>
        </is>
      </c>
      <c r="B1" t="inlineStr">
        <is>
          <t>日付</t>
        </is>
      </c>
      <c r="C1" t="inlineStr">
        <is>
          <t>新規</t>
        </is>
      </c>
      <c r="D1" t="inlineStr">
        <is>
          <t>MNP</t>
        </is>
      </c>
      <c r="E1" t="inlineStr">
        <is>
          <t>固定</t>
        </is>
      </c>
      <c r="F1" t="inlineStr">
        <is>
          <t>タブレット</t>
        </is>
      </c>
      <c r="G1" t="inlineStr">
        <is>
          <t>電気</t>
        </is>
      </c>
      <c r="H1" t="inlineStr">
        <is>
          <t>PPCD申込</t>
        </is>
      </c>
      <c r="I1" t="inlineStr">
        <is>
          <t>SB Gold申込</t>
        </is>
      </c>
      <c r="J1" t="inlineStr">
        <is>
          <t>戦略機種(Pt)</t>
        </is>
      </c>
      <c r="K1" t="inlineStr">
        <is>
          <t>Watch</t>
        </is>
      </c>
      <c r="L1" t="inlineStr">
        <is>
          <t>機変</t>
        </is>
      </c>
      <c r="M1" t="inlineStr">
        <is>
          <t>DMM</t>
        </is>
      </c>
      <c r="N1" t="inlineStr">
        <is>
          <t>YouTube</t>
        </is>
      </c>
      <c r="O1" t="inlineStr">
        <is>
          <t>理想ペース</t>
        </is>
      </c>
      <c r="R1" t="inlineStr">
        <is>
          <t>グラフ用の計算シートです(自動計算・編集不要)。</t>
        </is>
      </c>
    </row>
    <row r="2">
      <c r="A2" t="n">
        <v>1</v>
      </c>
      <c r="B2" s="58">
        <f>進捗確認!B42</f>
        <v/>
      </c>
      <c r="C2" s="43">
        <f>IF(AND(進捗確認!$B42&lt;&gt;"",進捗確認!$A42&lt;=進捗確認!$F$3,N(目標設定!$D$7)&gt;0),SUM(進捗確認!C$42:C42)/目標設定!$D$7,NA())</f>
        <v/>
      </c>
      <c r="D2" s="43">
        <f>IF(AND(進捗確認!$B42&lt;&gt;"",進捗確認!$A42&lt;=進捗確認!$F$3,N(目標設定!$D$8)&gt;0),SUM(進捗確認!D$42:D42)/目標設定!$D$8,NA())</f>
        <v/>
      </c>
      <c r="E2" s="43">
        <f>IF(AND(進捗確認!$B42&lt;&gt;"",進捗確認!$A42&lt;=進捗確認!$F$3,N(目標設定!$D$9)&gt;0),SUM(進捗確認!E$42:E42)/目標設定!$D$9,NA())</f>
        <v/>
      </c>
      <c r="F2" s="43">
        <f>IF(AND(進捗確認!$B42&lt;&gt;"",進捗確認!$A42&lt;=進捗確認!$F$3,N(目標設定!$D$10)&gt;0),SUM(進捗確認!F$42:F42)/目標設定!$D$10,NA())</f>
        <v/>
      </c>
      <c r="G2" s="43">
        <f>IF(AND(進捗確認!$B42&lt;&gt;"",進捗確認!$A42&lt;=進捗確認!$F$3,N(目標設定!$D$11)&gt;0),SUM(進捗確認!G$42:G42)/目標設定!$D$11,NA())</f>
        <v/>
      </c>
      <c r="H2" s="43">
        <f>IF(AND(進捗確認!$B42&lt;&gt;"",進捗確認!$A42&lt;=進捗確認!$F$3,N(目標設定!$D$12)&gt;0),SUM(進捗確認!H$42:H42)/目標設定!$D$12,NA())</f>
        <v/>
      </c>
      <c r="I2" s="43">
        <f>IF(AND(進捗確認!$B42&lt;&gt;"",進捗確認!$A42&lt;=進捗確認!$F$3,N(目標設定!$D$13)&gt;0),SUM(進捗確認!I$42:I42)/目標設定!$D$13,NA())</f>
        <v/>
      </c>
      <c r="J2" s="43">
        <f>IF(AND(進捗確認!$B42&lt;&gt;"",進捗確認!$A42&lt;=進捗確認!$F$3,N(目標設定!$D$14)&gt;0),SUM(進捗確認!J$42:J42)/目標設定!$D$14,NA())</f>
        <v/>
      </c>
      <c r="K2" s="43">
        <f>IF(AND(進捗確認!$B42&lt;&gt;"",進捗確認!$A42&lt;=進捗確認!$F$3,N(目標設定!$D$15)&gt;0),SUM(進捗確認!K$42:K42)/目標設定!$D$15,NA())</f>
        <v/>
      </c>
      <c r="L2" s="43">
        <f>IF(AND(進捗確認!$B42&lt;&gt;"",進捗確認!$A42&lt;=進捗確認!$F$3,N(目標設定!$D$16)&gt;0),SUM(進捗確認!L$42:L42)/目標設定!$D$16,NA())</f>
        <v/>
      </c>
      <c r="M2" s="43">
        <f>IF(AND(進捗確認!$B42&lt;&gt;"",進捗確認!$A42&lt;=進捗確認!$F$3,N(目標設定!$D$17)&gt;0),SUM(進捗確認!M$42:M42)/目標設定!$D$17,NA())</f>
        <v/>
      </c>
      <c r="N2" s="43">
        <f>IF(AND(進捗確認!$B42&lt;&gt;"",進捗確認!$A42&lt;=進捗確認!$F$3,N(目標設定!$D$18)&gt;0),SUM(進捗確認!N$42:N42)/目標設定!$D$18,NA())</f>
        <v/>
      </c>
      <c r="O2" s="43">
        <f>IF(進捗確認!$B42="",NA(),$A2/進捗確認!$D$3)</f>
        <v/>
      </c>
    </row>
    <row r="3">
      <c r="A3" t="n">
        <v>2</v>
      </c>
      <c r="B3" s="58">
        <f>進捗確認!B43</f>
        <v/>
      </c>
      <c r="C3" s="43">
        <f>IF(AND(進捗確認!$B43&lt;&gt;"",進捗確認!$A43&lt;=進捗確認!$F$3,N(目標設定!$D$7)&gt;0),SUM(進捗確認!C$42:C43)/目標設定!$D$7,NA())</f>
        <v/>
      </c>
      <c r="D3" s="43">
        <f>IF(AND(進捗確認!$B43&lt;&gt;"",進捗確認!$A43&lt;=進捗確認!$F$3,N(目標設定!$D$8)&gt;0),SUM(進捗確認!D$42:D43)/目標設定!$D$8,NA())</f>
        <v/>
      </c>
      <c r="E3" s="43">
        <f>IF(AND(進捗確認!$B43&lt;&gt;"",進捗確認!$A43&lt;=進捗確認!$F$3,N(目標設定!$D$9)&gt;0),SUM(進捗確認!E$42:E43)/目標設定!$D$9,NA())</f>
        <v/>
      </c>
      <c r="F3" s="43">
        <f>IF(AND(進捗確認!$B43&lt;&gt;"",進捗確認!$A43&lt;=進捗確認!$F$3,N(目標設定!$D$10)&gt;0),SUM(進捗確認!F$42:F43)/目標設定!$D$10,NA())</f>
        <v/>
      </c>
      <c r="G3" s="43">
        <f>IF(AND(進捗確認!$B43&lt;&gt;"",進捗確認!$A43&lt;=進捗確認!$F$3,N(目標設定!$D$11)&gt;0),SUM(進捗確認!G$42:G43)/目標設定!$D$11,NA())</f>
        <v/>
      </c>
      <c r="H3" s="43">
        <f>IF(AND(進捗確認!$B43&lt;&gt;"",進捗確認!$A43&lt;=進捗確認!$F$3,N(目標設定!$D$12)&gt;0),SUM(進捗確認!H$42:H43)/目標設定!$D$12,NA())</f>
        <v/>
      </c>
      <c r="I3" s="43">
        <f>IF(AND(進捗確認!$B43&lt;&gt;"",進捗確認!$A43&lt;=進捗確認!$F$3,N(目標設定!$D$13)&gt;0),SUM(進捗確認!I$42:I43)/目標設定!$D$13,NA())</f>
        <v/>
      </c>
      <c r="J3" s="43">
        <f>IF(AND(進捗確認!$B43&lt;&gt;"",進捗確認!$A43&lt;=進捗確認!$F$3,N(目標設定!$D$14)&gt;0),SUM(進捗確認!J$42:J43)/目標設定!$D$14,NA())</f>
        <v/>
      </c>
      <c r="K3" s="43">
        <f>IF(AND(進捗確認!$B43&lt;&gt;"",進捗確認!$A43&lt;=進捗確認!$F$3,N(目標設定!$D$15)&gt;0),SUM(進捗確認!K$42:K43)/目標設定!$D$15,NA())</f>
        <v/>
      </c>
      <c r="L3" s="43">
        <f>IF(AND(進捗確認!$B43&lt;&gt;"",進捗確認!$A43&lt;=進捗確認!$F$3,N(目標設定!$D$16)&gt;0),SUM(進捗確認!L$42:L43)/目標設定!$D$16,NA())</f>
        <v/>
      </c>
      <c r="M3" s="43">
        <f>IF(AND(進捗確認!$B43&lt;&gt;"",進捗確認!$A43&lt;=進捗確認!$F$3,N(目標設定!$D$17)&gt;0),SUM(進捗確認!M$42:M43)/目標設定!$D$17,NA())</f>
        <v/>
      </c>
      <c r="N3" s="43">
        <f>IF(AND(進捗確認!$B43&lt;&gt;"",進捗確認!$A43&lt;=進捗確認!$F$3,N(目標設定!$D$18)&gt;0),SUM(進捗確認!N$42:N43)/目標設定!$D$18,NA())</f>
        <v/>
      </c>
      <c r="O3" s="43">
        <f>IF(進捗確認!$B43="",NA(),$A3/進捗確認!$D$3)</f>
        <v/>
      </c>
    </row>
    <row r="4">
      <c r="A4" t="n">
        <v>3</v>
      </c>
      <c r="B4" s="58">
        <f>進捗確認!B44</f>
        <v/>
      </c>
      <c r="C4" s="43">
        <f>IF(AND(進捗確認!$B44&lt;&gt;"",進捗確認!$A44&lt;=進捗確認!$F$3,N(目標設定!$D$7)&gt;0),SUM(進捗確認!C$42:C44)/目標設定!$D$7,NA())</f>
        <v/>
      </c>
      <c r="D4" s="43">
        <f>IF(AND(進捗確認!$B44&lt;&gt;"",進捗確認!$A44&lt;=進捗確認!$F$3,N(目標設定!$D$8)&gt;0),SUM(進捗確認!D$42:D44)/目標設定!$D$8,NA())</f>
        <v/>
      </c>
      <c r="E4" s="43">
        <f>IF(AND(進捗確認!$B44&lt;&gt;"",進捗確認!$A44&lt;=進捗確認!$F$3,N(目標設定!$D$9)&gt;0),SUM(進捗確認!E$42:E44)/目標設定!$D$9,NA())</f>
        <v/>
      </c>
      <c r="F4" s="43">
        <f>IF(AND(進捗確認!$B44&lt;&gt;"",進捗確認!$A44&lt;=進捗確認!$F$3,N(目標設定!$D$10)&gt;0),SUM(進捗確認!F$42:F44)/目標設定!$D$10,NA())</f>
        <v/>
      </c>
      <c r="G4" s="43">
        <f>IF(AND(進捗確認!$B44&lt;&gt;"",進捗確認!$A44&lt;=進捗確認!$F$3,N(目標設定!$D$11)&gt;0),SUM(進捗確認!G$42:G44)/目標設定!$D$11,NA())</f>
        <v/>
      </c>
      <c r="H4" s="43">
        <f>IF(AND(進捗確認!$B44&lt;&gt;"",進捗確認!$A44&lt;=進捗確認!$F$3,N(目標設定!$D$12)&gt;0),SUM(進捗確認!H$42:H44)/目標設定!$D$12,NA())</f>
        <v/>
      </c>
      <c r="I4" s="43">
        <f>IF(AND(進捗確認!$B44&lt;&gt;"",進捗確認!$A44&lt;=進捗確認!$F$3,N(目標設定!$D$13)&gt;0),SUM(進捗確認!I$42:I44)/目標設定!$D$13,NA())</f>
        <v/>
      </c>
      <c r="J4" s="43">
        <f>IF(AND(進捗確認!$B44&lt;&gt;"",進捗確認!$A44&lt;=進捗確認!$F$3,N(目標設定!$D$14)&gt;0),SUM(進捗確認!J$42:J44)/目標設定!$D$14,NA())</f>
        <v/>
      </c>
      <c r="K4" s="43">
        <f>IF(AND(進捗確認!$B44&lt;&gt;"",進捗確認!$A44&lt;=進捗確認!$F$3,N(目標設定!$D$15)&gt;0),SUM(進捗確認!K$42:K44)/目標設定!$D$15,NA())</f>
        <v/>
      </c>
      <c r="L4" s="43">
        <f>IF(AND(進捗確認!$B44&lt;&gt;"",進捗確認!$A44&lt;=進捗確認!$F$3,N(目標設定!$D$16)&gt;0),SUM(進捗確認!L$42:L44)/目標設定!$D$16,NA())</f>
        <v/>
      </c>
      <c r="M4" s="43">
        <f>IF(AND(進捗確認!$B44&lt;&gt;"",進捗確認!$A44&lt;=進捗確認!$F$3,N(目標設定!$D$17)&gt;0),SUM(進捗確認!M$42:M44)/目標設定!$D$17,NA())</f>
        <v/>
      </c>
      <c r="N4" s="43">
        <f>IF(AND(進捗確認!$B44&lt;&gt;"",進捗確認!$A44&lt;=進捗確認!$F$3,N(目標設定!$D$18)&gt;0),SUM(進捗確認!N$42:N44)/目標設定!$D$18,NA())</f>
        <v/>
      </c>
      <c r="O4" s="43">
        <f>IF(進捗確認!$B44="",NA(),$A4/進捗確認!$D$3)</f>
        <v/>
      </c>
    </row>
    <row r="5">
      <c r="A5" t="n">
        <v>4</v>
      </c>
      <c r="B5" s="58">
        <f>進捗確認!B45</f>
        <v/>
      </c>
      <c r="C5" s="43">
        <f>IF(AND(進捗確認!$B45&lt;&gt;"",進捗確認!$A45&lt;=進捗確認!$F$3,N(目標設定!$D$7)&gt;0),SUM(進捗確認!C$42:C45)/目標設定!$D$7,NA())</f>
        <v/>
      </c>
      <c r="D5" s="43">
        <f>IF(AND(進捗確認!$B45&lt;&gt;"",進捗確認!$A45&lt;=進捗確認!$F$3,N(目標設定!$D$8)&gt;0),SUM(進捗確認!D$42:D45)/目標設定!$D$8,NA())</f>
        <v/>
      </c>
      <c r="E5" s="43">
        <f>IF(AND(進捗確認!$B45&lt;&gt;"",進捗確認!$A45&lt;=進捗確認!$F$3,N(目標設定!$D$9)&gt;0),SUM(進捗確認!E$42:E45)/目標設定!$D$9,NA())</f>
        <v/>
      </c>
      <c r="F5" s="43">
        <f>IF(AND(進捗確認!$B45&lt;&gt;"",進捗確認!$A45&lt;=進捗確認!$F$3,N(目標設定!$D$10)&gt;0),SUM(進捗確認!F$42:F45)/目標設定!$D$10,NA())</f>
        <v/>
      </c>
      <c r="G5" s="43">
        <f>IF(AND(進捗確認!$B45&lt;&gt;"",進捗確認!$A45&lt;=進捗確認!$F$3,N(目標設定!$D$11)&gt;0),SUM(進捗確認!G$42:G45)/目標設定!$D$11,NA())</f>
        <v/>
      </c>
      <c r="H5" s="43">
        <f>IF(AND(進捗確認!$B45&lt;&gt;"",進捗確認!$A45&lt;=進捗確認!$F$3,N(目標設定!$D$12)&gt;0),SUM(進捗確認!H$42:H45)/目標設定!$D$12,NA())</f>
        <v/>
      </c>
      <c r="I5" s="43">
        <f>IF(AND(進捗確認!$B45&lt;&gt;"",進捗確認!$A45&lt;=進捗確認!$F$3,N(目標設定!$D$13)&gt;0),SUM(進捗確認!I$42:I45)/目標設定!$D$13,NA())</f>
        <v/>
      </c>
      <c r="J5" s="43">
        <f>IF(AND(進捗確認!$B45&lt;&gt;"",進捗確認!$A45&lt;=進捗確認!$F$3,N(目標設定!$D$14)&gt;0),SUM(進捗確認!J$42:J45)/目標設定!$D$14,NA())</f>
        <v/>
      </c>
      <c r="K5" s="43">
        <f>IF(AND(進捗確認!$B45&lt;&gt;"",進捗確認!$A45&lt;=進捗確認!$F$3,N(目標設定!$D$15)&gt;0),SUM(進捗確認!K$42:K45)/目標設定!$D$15,NA())</f>
        <v/>
      </c>
      <c r="L5" s="43">
        <f>IF(AND(進捗確認!$B45&lt;&gt;"",進捗確認!$A45&lt;=進捗確認!$F$3,N(目標設定!$D$16)&gt;0),SUM(進捗確認!L$42:L45)/目標設定!$D$16,NA())</f>
        <v/>
      </c>
      <c r="M5" s="43">
        <f>IF(AND(進捗確認!$B45&lt;&gt;"",進捗確認!$A45&lt;=進捗確認!$F$3,N(目標設定!$D$17)&gt;0),SUM(進捗確認!M$42:M45)/目標設定!$D$17,NA())</f>
        <v/>
      </c>
      <c r="N5" s="43">
        <f>IF(AND(進捗確認!$B45&lt;&gt;"",進捗確認!$A45&lt;=進捗確認!$F$3,N(目標設定!$D$18)&gt;0),SUM(進捗確認!N$42:N45)/目標設定!$D$18,NA())</f>
        <v/>
      </c>
      <c r="O5" s="43">
        <f>IF(進捗確認!$B45="",NA(),$A5/進捗確認!$D$3)</f>
        <v/>
      </c>
    </row>
    <row r="6">
      <c r="A6" t="n">
        <v>5</v>
      </c>
      <c r="B6" s="58">
        <f>進捗確認!B46</f>
        <v/>
      </c>
      <c r="C6" s="43">
        <f>IF(AND(進捗確認!$B46&lt;&gt;"",進捗確認!$A46&lt;=進捗確認!$F$3,N(目標設定!$D$7)&gt;0),SUM(進捗確認!C$42:C46)/目標設定!$D$7,NA())</f>
        <v/>
      </c>
      <c r="D6" s="43">
        <f>IF(AND(進捗確認!$B46&lt;&gt;"",進捗確認!$A46&lt;=進捗確認!$F$3,N(目標設定!$D$8)&gt;0),SUM(進捗確認!D$42:D46)/目標設定!$D$8,NA())</f>
        <v/>
      </c>
      <c r="E6" s="43">
        <f>IF(AND(進捗確認!$B46&lt;&gt;"",進捗確認!$A46&lt;=進捗確認!$F$3,N(目標設定!$D$9)&gt;0),SUM(進捗確認!E$42:E46)/目標設定!$D$9,NA())</f>
        <v/>
      </c>
      <c r="F6" s="43">
        <f>IF(AND(進捗確認!$B46&lt;&gt;"",進捗確認!$A46&lt;=進捗確認!$F$3,N(目標設定!$D$10)&gt;0),SUM(進捗確認!F$42:F46)/目標設定!$D$10,NA())</f>
        <v/>
      </c>
      <c r="G6" s="43">
        <f>IF(AND(進捗確認!$B46&lt;&gt;"",進捗確認!$A46&lt;=進捗確認!$F$3,N(目標設定!$D$11)&gt;0),SUM(進捗確認!G$42:G46)/目標設定!$D$11,NA())</f>
        <v/>
      </c>
      <c r="H6" s="43">
        <f>IF(AND(進捗確認!$B46&lt;&gt;"",進捗確認!$A46&lt;=進捗確認!$F$3,N(目標設定!$D$12)&gt;0),SUM(進捗確認!H$42:H46)/目標設定!$D$12,NA())</f>
        <v/>
      </c>
      <c r="I6" s="43">
        <f>IF(AND(進捗確認!$B46&lt;&gt;"",進捗確認!$A46&lt;=進捗確認!$F$3,N(目標設定!$D$13)&gt;0),SUM(進捗確認!I$42:I46)/目標設定!$D$13,NA())</f>
        <v/>
      </c>
      <c r="J6" s="43">
        <f>IF(AND(進捗確認!$B46&lt;&gt;"",進捗確認!$A46&lt;=進捗確認!$F$3,N(目標設定!$D$14)&gt;0),SUM(進捗確認!J$42:J46)/目標設定!$D$14,NA())</f>
        <v/>
      </c>
      <c r="K6" s="43">
        <f>IF(AND(進捗確認!$B46&lt;&gt;"",進捗確認!$A46&lt;=進捗確認!$F$3,N(目標設定!$D$15)&gt;0),SUM(進捗確認!K$42:K46)/目標設定!$D$15,NA())</f>
        <v/>
      </c>
      <c r="L6" s="43">
        <f>IF(AND(進捗確認!$B46&lt;&gt;"",進捗確認!$A46&lt;=進捗確認!$F$3,N(目標設定!$D$16)&gt;0),SUM(進捗確認!L$42:L46)/目標設定!$D$16,NA())</f>
        <v/>
      </c>
      <c r="M6" s="43">
        <f>IF(AND(進捗確認!$B46&lt;&gt;"",進捗確認!$A46&lt;=進捗確認!$F$3,N(目標設定!$D$17)&gt;0),SUM(進捗確認!M$42:M46)/目標設定!$D$17,NA())</f>
        <v/>
      </c>
      <c r="N6" s="43">
        <f>IF(AND(進捗確認!$B46&lt;&gt;"",進捗確認!$A46&lt;=進捗確認!$F$3,N(目標設定!$D$18)&gt;0),SUM(進捗確認!N$42:N46)/目標設定!$D$18,NA())</f>
        <v/>
      </c>
      <c r="O6" s="43">
        <f>IF(進捗確認!$B46="",NA(),$A6/進捗確認!$D$3)</f>
        <v/>
      </c>
    </row>
    <row r="7">
      <c r="A7" t="n">
        <v>6</v>
      </c>
      <c r="B7" s="58">
        <f>進捗確認!B47</f>
        <v/>
      </c>
      <c r="C7" s="43">
        <f>IF(AND(進捗確認!$B47&lt;&gt;"",進捗確認!$A47&lt;=進捗確認!$F$3,N(目標設定!$D$7)&gt;0),SUM(進捗確認!C$42:C47)/目標設定!$D$7,NA())</f>
        <v/>
      </c>
      <c r="D7" s="43">
        <f>IF(AND(進捗確認!$B47&lt;&gt;"",進捗確認!$A47&lt;=進捗確認!$F$3,N(目標設定!$D$8)&gt;0),SUM(進捗確認!D$42:D47)/目標設定!$D$8,NA())</f>
        <v/>
      </c>
      <c r="E7" s="43">
        <f>IF(AND(進捗確認!$B47&lt;&gt;"",進捗確認!$A47&lt;=進捗確認!$F$3,N(目標設定!$D$9)&gt;0),SUM(進捗確認!E$42:E47)/目標設定!$D$9,NA())</f>
        <v/>
      </c>
      <c r="F7" s="43">
        <f>IF(AND(進捗確認!$B47&lt;&gt;"",進捗確認!$A47&lt;=進捗確認!$F$3,N(目標設定!$D$10)&gt;0),SUM(進捗確認!F$42:F47)/目標設定!$D$10,NA())</f>
        <v/>
      </c>
      <c r="G7" s="43">
        <f>IF(AND(進捗確認!$B47&lt;&gt;"",進捗確認!$A47&lt;=進捗確認!$F$3,N(目標設定!$D$11)&gt;0),SUM(進捗確認!G$42:G47)/目標設定!$D$11,NA())</f>
        <v/>
      </c>
      <c r="H7" s="43">
        <f>IF(AND(進捗確認!$B47&lt;&gt;"",進捗確認!$A47&lt;=進捗確認!$F$3,N(目標設定!$D$12)&gt;0),SUM(進捗確認!H$42:H47)/目標設定!$D$12,NA())</f>
        <v/>
      </c>
      <c r="I7" s="43">
        <f>IF(AND(進捗確認!$B47&lt;&gt;"",進捗確認!$A47&lt;=進捗確認!$F$3,N(目標設定!$D$13)&gt;0),SUM(進捗確認!I$42:I47)/目標設定!$D$13,NA())</f>
        <v/>
      </c>
      <c r="J7" s="43">
        <f>IF(AND(進捗確認!$B47&lt;&gt;"",進捗確認!$A47&lt;=進捗確認!$F$3,N(目標設定!$D$14)&gt;0),SUM(進捗確認!J$42:J47)/目標設定!$D$14,NA())</f>
        <v/>
      </c>
      <c r="K7" s="43">
        <f>IF(AND(進捗確認!$B47&lt;&gt;"",進捗確認!$A47&lt;=進捗確認!$F$3,N(目標設定!$D$15)&gt;0),SUM(進捗確認!K$42:K47)/目標設定!$D$15,NA())</f>
        <v/>
      </c>
      <c r="L7" s="43">
        <f>IF(AND(進捗確認!$B47&lt;&gt;"",進捗確認!$A47&lt;=進捗確認!$F$3,N(目標設定!$D$16)&gt;0),SUM(進捗確認!L$42:L47)/目標設定!$D$16,NA())</f>
        <v/>
      </c>
      <c r="M7" s="43">
        <f>IF(AND(進捗確認!$B47&lt;&gt;"",進捗確認!$A47&lt;=進捗確認!$F$3,N(目標設定!$D$17)&gt;0),SUM(進捗確認!M$42:M47)/目標設定!$D$17,NA())</f>
        <v/>
      </c>
      <c r="N7" s="43">
        <f>IF(AND(進捗確認!$B47&lt;&gt;"",進捗確認!$A47&lt;=進捗確認!$F$3,N(目標設定!$D$18)&gt;0),SUM(進捗確認!N$42:N47)/目標設定!$D$18,NA())</f>
        <v/>
      </c>
      <c r="O7" s="43">
        <f>IF(進捗確認!$B47="",NA(),$A7/進捗確認!$D$3)</f>
        <v/>
      </c>
    </row>
    <row r="8">
      <c r="A8" t="n">
        <v>7</v>
      </c>
      <c r="B8" s="58">
        <f>進捗確認!B48</f>
        <v/>
      </c>
      <c r="C8" s="43">
        <f>IF(AND(進捗確認!$B48&lt;&gt;"",進捗確認!$A48&lt;=進捗確認!$F$3,N(目標設定!$D$7)&gt;0),SUM(進捗確認!C$42:C48)/目標設定!$D$7,NA())</f>
        <v/>
      </c>
      <c r="D8" s="43">
        <f>IF(AND(進捗確認!$B48&lt;&gt;"",進捗確認!$A48&lt;=進捗確認!$F$3,N(目標設定!$D$8)&gt;0),SUM(進捗確認!D$42:D48)/目標設定!$D$8,NA())</f>
        <v/>
      </c>
      <c r="E8" s="43">
        <f>IF(AND(進捗確認!$B48&lt;&gt;"",進捗確認!$A48&lt;=進捗確認!$F$3,N(目標設定!$D$9)&gt;0),SUM(進捗確認!E$42:E48)/目標設定!$D$9,NA())</f>
        <v/>
      </c>
      <c r="F8" s="43">
        <f>IF(AND(進捗確認!$B48&lt;&gt;"",進捗確認!$A48&lt;=進捗確認!$F$3,N(目標設定!$D$10)&gt;0),SUM(進捗確認!F$42:F48)/目標設定!$D$10,NA())</f>
        <v/>
      </c>
      <c r="G8" s="43">
        <f>IF(AND(進捗確認!$B48&lt;&gt;"",進捗確認!$A48&lt;=進捗確認!$F$3,N(目標設定!$D$11)&gt;0),SUM(進捗確認!G$42:G48)/目標設定!$D$11,NA())</f>
        <v/>
      </c>
      <c r="H8" s="43">
        <f>IF(AND(進捗確認!$B48&lt;&gt;"",進捗確認!$A48&lt;=進捗確認!$F$3,N(目標設定!$D$12)&gt;0),SUM(進捗確認!H$42:H48)/目標設定!$D$12,NA())</f>
        <v/>
      </c>
      <c r="I8" s="43">
        <f>IF(AND(進捗確認!$B48&lt;&gt;"",進捗確認!$A48&lt;=進捗確認!$F$3,N(目標設定!$D$13)&gt;0),SUM(進捗確認!I$42:I48)/目標設定!$D$13,NA())</f>
        <v/>
      </c>
      <c r="J8" s="43">
        <f>IF(AND(進捗確認!$B48&lt;&gt;"",進捗確認!$A48&lt;=進捗確認!$F$3,N(目標設定!$D$14)&gt;0),SUM(進捗確認!J$42:J48)/目標設定!$D$14,NA())</f>
        <v/>
      </c>
      <c r="K8" s="43">
        <f>IF(AND(進捗確認!$B48&lt;&gt;"",進捗確認!$A48&lt;=進捗確認!$F$3,N(目標設定!$D$15)&gt;0),SUM(進捗確認!K$42:K48)/目標設定!$D$15,NA())</f>
        <v/>
      </c>
      <c r="L8" s="43">
        <f>IF(AND(進捗確認!$B48&lt;&gt;"",進捗確認!$A48&lt;=進捗確認!$F$3,N(目標設定!$D$16)&gt;0),SUM(進捗確認!L$42:L48)/目標設定!$D$16,NA())</f>
        <v/>
      </c>
      <c r="M8" s="43">
        <f>IF(AND(進捗確認!$B48&lt;&gt;"",進捗確認!$A48&lt;=進捗確認!$F$3,N(目標設定!$D$17)&gt;0),SUM(進捗確認!M$42:M48)/目標設定!$D$17,NA())</f>
        <v/>
      </c>
      <c r="N8" s="43">
        <f>IF(AND(進捗確認!$B48&lt;&gt;"",進捗確認!$A48&lt;=進捗確認!$F$3,N(目標設定!$D$18)&gt;0),SUM(進捗確認!N$42:N48)/目標設定!$D$18,NA())</f>
        <v/>
      </c>
      <c r="O8" s="43">
        <f>IF(進捗確認!$B48="",NA(),$A8/進捗確認!$D$3)</f>
        <v/>
      </c>
    </row>
    <row r="9">
      <c r="A9" t="n">
        <v>8</v>
      </c>
      <c r="B9" s="58">
        <f>進捗確認!B49</f>
        <v/>
      </c>
      <c r="C9" s="43">
        <f>IF(AND(進捗確認!$B49&lt;&gt;"",進捗確認!$A49&lt;=進捗確認!$F$3,N(目標設定!$D$7)&gt;0),SUM(進捗確認!C$42:C49)/目標設定!$D$7,NA())</f>
        <v/>
      </c>
      <c r="D9" s="43">
        <f>IF(AND(進捗確認!$B49&lt;&gt;"",進捗確認!$A49&lt;=進捗確認!$F$3,N(目標設定!$D$8)&gt;0),SUM(進捗確認!D$42:D49)/目標設定!$D$8,NA())</f>
        <v/>
      </c>
      <c r="E9" s="43">
        <f>IF(AND(進捗確認!$B49&lt;&gt;"",進捗確認!$A49&lt;=進捗確認!$F$3,N(目標設定!$D$9)&gt;0),SUM(進捗確認!E$42:E49)/目標設定!$D$9,NA())</f>
        <v/>
      </c>
      <c r="F9" s="43">
        <f>IF(AND(進捗確認!$B49&lt;&gt;"",進捗確認!$A49&lt;=進捗確認!$F$3,N(目標設定!$D$10)&gt;0),SUM(進捗確認!F$42:F49)/目標設定!$D$10,NA())</f>
        <v/>
      </c>
      <c r="G9" s="43">
        <f>IF(AND(進捗確認!$B49&lt;&gt;"",進捗確認!$A49&lt;=進捗確認!$F$3,N(目標設定!$D$11)&gt;0),SUM(進捗確認!G$42:G49)/目標設定!$D$11,NA())</f>
        <v/>
      </c>
      <c r="H9" s="43">
        <f>IF(AND(進捗確認!$B49&lt;&gt;"",進捗確認!$A49&lt;=進捗確認!$F$3,N(目標設定!$D$12)&gt;0),SUM(進捗確認!H$42:H49)/目標設定!$D$12,NA())</f>
        <v/>
      </c>
      <c r="I9" s="43">
        <f>IF(AND(進捗確認!$B49&lt;&gt;"",進捗確認!$A49&lt;=進捗確認!$F$3,N(目標設定!$D$13)&gt;0),SUM(進捗確認!I$42:I49)/目標設定!$D$13,NA())</f>
        <v/>
      </c>
      <c r="J9" s="43">
        <f>IF(AND(進捗確認!$B49&lt;&gt;"",進捗確認!$A49&lt;=進捗確認!$F$3,N(目標設定!$D$14)&gt;0),SUM(進捗確認!J$42:J49)/目標設定!$D$14,NA())</f>
        <v/>
      </c>
      <c r="K9" s="43">
        <f>IF(AND(進捗確認!$B49&lt;&gt;"",進捗確認!$A49&lt;=進捗確認!$F$3,N(目標設定!$D$15)&gt;0),SUM(進捗確認!K$42:K49)/目標設定!$D$15,NA())</f>
        <v/>
      </c>
      <c r="L9" s="43">
        <f>IF(AND(進捗確認!$B49&lt;&gt;"",進捗確認!$A49&lt;=進捗確認!$F$3,N(目標設定!$D$16)&gt;0),SUM(進捗確認!L$42:L49)/目標設定!$D$16,NA())</f>
        <v/>
      </c>
      <c r="M9" s="43">
        <f>IF(AND(進捗確認!$B49&lt;&gt;"",進捗確認!$A49&lt;=進捗確認!$F$3,N(目標設定!$D$17)&gt;0),SUM(進捗確認!M$42:M49)/目標設定!$D$17,NA())</f>
        <v/>
      </c>
      <c r="N9" s="43">
        <f>IF(AND(進捗確認!$B49&lt;&gt;"",進捗確認!$A49&lt;=進捗確認!$F$3,N(目標設定!$D$18)&gt;0),SUM(進捗確認!N$42:N49)/目標設定!$D$18,NA())</f>
        <v/>
      </c>
      <c r="O9" s="43">
        <f>IF(進捗確認!$B49="",NA(),$A9/進捗確認!$D$3)</f>
        <v/>
      </c>
    </row>
    <row r="10">
      <c r="A10" t="n">
        <v>9</v>
      </c>
      <c r="B10" s="58">
        <f>進捗確認!B50</f>
        <v/>
      </c>
      <c r="C10" s="43">
        <f>IF(AND(進捗確認!$B50&lt;&gt;"",進捗確認!$A50&lt;=進捗確認!$F$3,N(目標設定!$D$7)&gt;0),SUM(進捗確認!C$42:C50)/目標設定!$D$7,NA())</f>
        <v/>
      </c>
      <c r="D10" s="43">
        <f>IF(AND(進捗確認!$B50&lt;&gt;"",進捗確認!$A50&lt;=進捗確認!$F$3,N(目標設定!$D$8)&gt;0),SUM(進捗確認!D$42:D50)/目標設定!$D$8,NA())</f>
        <v/>
      </c>
      <c r="E10" s="43">
        <f>IF(AND(進捗確認!$B50&lt;&gt;"",進捗確認!$A50&lt;=進捗確認!$F$3,N(目標設定!$D$9)&gt;0),SUM(進捗確認!E$42:E50)/目標設定!$D$9,NA())</f>
        <v/>
      </c>
      <c r="F10" s="43">
        <f>IF(AND(進捗確認!$B50&lt;&gt;"",進捗確認!$A50&lt;=進捗確認!$F$3,N(目標設定!$D$10)&gt;0),SUM(進捗確認!F$42:F50)/目標設定!$D$10,NA())</f>
        <v/>
      </c>
      <c r="G10" s="43">
        <f>IF(AND(進捗確認!$B50&lt;&gt;"",進捗確認!$A50&lt;=進捗確認!$F$3,N(目標設定!$D$11)&gt;0),SUM(進捗確認!G$42:G50)/目標設定!$D$11,NA())</f>
        <v/>
      </c>
      <c r="H10" s="43">
        <f>IF(AND(進捗確認!$B50&lt;&gt;"",進捗確認!$A50&lt;=進捗確認!$F$3,N(目標設定!$D$12)&gt;0),SUM(進捗確認!H$42:H50)/目標設定!$D$12,NA())</f>
        <v/>
      </c>
      <c r="I10" s="43">
        <f>IF(AND(進捗確認!$B50&lt;&gt;"",進捗確認!$A50&lt;=進捗確認!$F$3,N(目標設定!$D$13)&gt;0),SUM(進捗確認!I$42:I50)/目標設定!$D$13,NA())</f>
        <v/>
      </c>
      <c r="J10" s="43">
        <f>IF(AND(進捗確認!$B50&lt;&gt;"",進捗確認!$A50&lt;=進捗確認!$F$3,N(目標設定!$D$14)&gt;0),SUM(進捗確認!J$42:J50)/目標設定!$D$14,NA())</f>
        <v/>
      </c>
      <c r="K10" s="43">
        <f>IF(AND(進捗確認!$B50&lt;&gt;"",進捗確認!$A50&lt;=進捗確認!$F$3,N(目標設定!$D$15)&gt;0),SUM(進捗確認!K$42:K50)/目標設定!$D$15,NA())</f>
        <v/>
      </c>
      <c r="L10" s="43">
        <f>IF(AND(進捗確認!$B50&lt;&gt;"",進捗確認!$A50&lt;=進捗確認!$F$3,N(目標設定!$D$16)&gt;0),SUM(進捗確認!L$42:L50)/目標設定!$D$16,NA())</f>
        <v/>
      </c>
      <c r="M10" s="43">
        <f>IF(AND(進捗確認!$B50&lt;&gt;"",進捗確認!$A50&lt;=進捗確認!$F$3,N(目標設定!$D$17)&gt;0),SUM(進捗確認!M$42:M50)/目標設定!$D$17,NA())</f>
        <v/>
      </c>
      <c r="N10" s="43">
        <f>IF(AND(進捗確認!$B50&lt;&gt;"",進捗確認!$A50&lt;=進捗確認!$F$3,N(目標設定!$D$18)&gt;0),SUM(進捗確認!N$42:N50)/目標設定!$D$18,NA())</f>
        <v/>
      </c>
      <c r="O10" s="43">
        <f>IF(進捗確認!$B50="",NA(),$A10/進捗確認!$D$3)</f>
        <v/>
      </c>
    </row>
    <row r="11">
      <c r="A11" t="n">
        <v>10</v>
      </c>
      <c r="B11" s="58">
        <f>進捗確認!B51</f>
        <v/>
      </c>
      <c r="C11" s="43">
        <f>IF(AND(進捗確認!$B51&lt;&gt;"",進捗確認!$A51&lt;=進捗確認!$F$3,N(目標設定!$D$7)&gt;0),SUM(進捗確認!C$42:C51)/目標設定!$D$7,NA())</f>
        <v/>
      </c>
      <c r="D11" s="43">
        <f>IF(AND(進捗確認!$B51&lt;&gt;"",進捗確認!$A51&lt;=進捗確認!$F$3,N(目標設定!$D$8)&gt;0),SUM(進捗確認!D$42:D51)/目標設定!$D$8,NA())</f>
        <v/>
      </c>
      <c r="E11" s="43">
        <f>IF(AND(進捗確認!$B51&lt;&gt;"",進捗確認!$A51&lt;=進捗確認!$F$3,N(目標設定!$D$9)&gt;0),SUM(進捗確認!E$42:E51)/目標設定!$D$9,NA())</f>
        <v/>
      </c>
      <c r="F11" s="43">
        <f>IF(AND(進捗確認!$B51&lt;&gt;"",進捗確認!$A51&lt;=進捗確認!$F$3,N(目標設定!$D$10)&gt;0),SUM(進捗確認!F$42:F51)/目標設定!$D$10,NA())</f>
        <v/>
      </c>
      <c r="G11" s="43">
        <f>IF(AND(進捗確認!$B51&lt;&gt;"",進捗確認!$A51&lt;=進捗確認!$F$3,N(目標設定!$D$11)&gt;0),SUM(進捗確認!G$42:G51)/目標設定!$D$11,NA())</f>
        <v/>
      </c>
      <c r="H11" s="43">
        <f>IF(AND(進捗確認!$B51&lt;&gt;"",進捗確認!$A51&lt;=進捗確認!$F$3,N(目標設定!$D$12)&gt;0),SUM(進捗確認!H$42:H51)/目標設定!$D$12,NA())</f>
        <v/>
      </c>
      <c r="I11" s="43">
        <f>IF(AND(進捗確認!$B51&lt;&gt;"",進捗確認!$A51&lt;=進捗確認!$F$3,N(目標設定!$D$13)&gt;0),SUM(進捗確認!I$42:I51)/目標設定!$D$13,NA())</f>
        <v/>
      </c>
      <c r="J11" s="43">
        <f>IF(AND(進捗確認!$B51&lt;&gt;"",進捗確認!$A51&lt;=進捗確認!$F$3,N(目標設定!$D$14)&gt;0),SUM(進捗確認!J$42:J51)/目標設定!$D$14,NA())</f>
        <v/>
      </c>
      <c r="K11" s="43">
        <f>IF(AND(進捗確認!$B51&lt;&gt;"",進捗確認!$A51&lt;=進捗確認!$F$3,N(目標設定!$D$15)&gt;0),SUM(進捗確認!K$42:K51)/目標設定!$D$15,NA())</f>
        <v/>
      </c>
      <c r="L11" s="43">
        <f>IF(AND(進捗確認!$B51&lt;&gt;"",進捗確認!$A51&lt;=進捗確認!$F$3,N(目標設定!$D$16)&gt;0),SUM(進捗確認!L$42:L51)/目標設定!$D$16,NA())</f>
        <v/>
      </c>
      <c r="M11" s="43">
        <f>IF(AND(進捗確認!$B51&lt;&gt;"",進捗確認!$A51&lt;=進捗確認!$F$3,N(目標設定!$D$17)&gt;0),SUM(進捗確認!M$42:M51)/目標設定!$D$17,NA())</f>
        <v/>
      </c>
      <c r="N11" s="43">
        <f>IF(AND(進捗確認!$B51&lt;&gt;"",進捗確認!$A51&lt;=進捗確認!$F$3,N(目標設定!$D$18)&gt;0),SUM(進捗確認!N$42:N51)/目標設定!$D$18,NA())</f>
        <v/>
      </c>
      <c r="O11" s="43">
        <f>IF(進捗確認!$B51="",NA(),$A11/進捗確認!$D$3)</f>
        <v/>
      </c>
    </row>
    <row r="12">
      <c r="A12" t="n">
        <v>11</v>
      </c>
      <c r="B12" s="58">
        <f>進捗確認!B52</f>
        <v/>
      </c>
      <c r="C12" s="43">
        <f>IF(AND(進捗確認!$B52&lt;&gt;"",進捗確認!$A52&lt;=進捗確認!$F$3,N(目標設定!$D$7)&gt;0),SUM(進捗確認!C$42:C52)/目標設定!$D$7,NA())</f>
        <v/>
      </c>
      <c r="D12" s="43">
        <f>IF(AND(進捗確認!$B52&lt;&gt;"",進捗確認!$A52&lt;=進捗確認!$F$3,N(目標設定!$D$8)&gt;0),SUM(進捗確認!D$42:D52)/目標設定!$D$8,NA())</f>
        <v/>
      </c>
      <c r="E12" s="43">
        <f>IF(AND(進捗確認!$B52&lt;&gt;"",進捗確認!$A52&lt;=進捗確認!$F$3,N(目標設定!$D$9)&gt;0),SUM(進捗確認!E$42:E52)/目標設定!$D$9,NA())</f>
        <v/>
      </c>
      <c r="F12" s="43">
        <f>IF(AND(進捗確認!$B52&lt;&gt;"",進捗確認!$A52&lt;=進捗確認!$F$3,N(目標設定!$D$10)&gt;0),SUM(進捗確認!F$42:F52)/目標設定!$D$10,NA())</f>
        <v/>
      </c>
      <c r="G12" s="43">
        <f>IF(AND(進捗確認!$B52&lt;&gt;"",進捗確認!$A52&lt;=進捗確認!$F$3,N(目標設定!$D$11)&gt;0),SUM(進捗確認!G$42:G52)/目標設定!$D$11,NA())</f>
        <v/>
      </c>
      <c r="H12" s="43">
        <f>IF(AND(進捗確認!$B52&lt;&gt;"",進捗確認!$A52&lt;=進捗確認!$F$3,N(目標設定!$D$12)&gt;0),SUM(進捗確認!H$42:H52)/目標設定!$D$12,NA())</f>
        <v/>
      </c>
      <c r="I12" s="43">
        <f>IF(AND(進捗確認!$B52&lt;&gt;"",進捗確認!$A52&lt;=進捗確認!$F$3,N(目標設定!$D$13)&gt;0),SUM(進捗確認!I$42:I52)/目標設定!$D$13,NA())</f>
        <v/>
      </c>
      <c r="J12" s="43">
        <f>IF(AND(進捗確認!$B52&lt;&gt;"",進捗確認!$A52&lt;=進捗確認!$F$3,N(目標設定!$D$14)&gt;0),SUM(進捗確認!J$42:J52)/目標設定!$D$14,NA())</f>
        <v/>
      </c>
      <c r="K12" s="43">
        <f>IF(AND(進捗確認!$B52&lt;&gt;"",進捗確認!$A52&lt;=進捗確認!$F$3,N(目標設定!$D$15)&gt;0),SUM(進捗確認!K$42:K52)/目標設定!$D$15,NA())</f>
        <v/>
      </c>
      <c r="L12" s="43">
        <f>IF(AND(進捗確認!$B52&lt;&gt;"",進捗確認!$A52&lt;=進捗確認!$F$3,N(目標設定!$D$16)&gt;0),SUM(進捗確認!L$42:L52)/目標設定!$D$16,NA())</f>
        <v/>
      </c>
      <c r="M12" s="43">
        <f>IF(AND(進捗確認!$B52&lt;&gt;"",進捗確認!$A52&lt;=進捗確認!$F$3,N(目標設定!$D$17)&gt;0),SUM(進捗確認!M$42:M52)/目標設定!$D$17,NA())</f>
        <v/>
      </c>
      <c r="N12" s="43">
        <f>IF(AND(進捗確認!$B52&lt;&gt;"",進捗確認!$A52&lt;=進捗確認!$F$3,N(目標設定!$D$18)&gt;0),SUM(進捗確認!N$42:N52)/目標設定!$D$18,NA())</f>
        <v/>
      </c>
      <c r="O12" s="43">
        <f>IF(進捗確認!$B52="",NA(),$A12/進捗確認!$D$3)</f>
        <v/>
      </c>
    </row>
    <row r="13">
      <c r="A13" t="n">
        <v>12</v>
      </c>
      <c r="B13" s="58">
        <f>進捗確認!B53</f>
        <v/>
      </c>
      <c r="C13" s="43">
        <f>IF(AND(進捗確認!$B53&lt;&gt;"",進捗確認!$A53&lt;=進捗確認!$F$3,N(目標設定!$D$7)&gt;0),SUM(進捗確認!C$42:C53)/目標設定!$D$7,NA())</f>
        <v/>
      </c>
      <c r="D13" s="43">
        <f>IF(AND(進捗確認!$B53&lt;&gt;"",進捗確認!$A53&lt;=進捗確認!$F$3,N(目標設定!$D$8)&gt;0),SUM(進捗確認!D$42:D53)/目標設定!$D$8,NA())</f>
        <v/>
      </c>
      <c r="E13" s="43">
        <f>IF(AND(進捗確認!$B53&lt;&gt;"",進捗確認!$A53&lt;=進捗確認!$F$3,N(目標設定!$D$9)&gt;0),SUM(進捗確認!E$42:E53)/目標設定!$D$9,NA())</f>
        <v/>
      </c>
      <c r="F13" s="43">
        <f>IF(AND(進捗確認!$B53&lt;&gt;"",進捗確認!$A53&lt;=進捗確認!$F$3,N(目標設定!$D$10)&gt;0),SUM(進捗確認!F$42:F53)/目標設定!$D$10,NA())</f>
        <v/>
      </c>
      <c r="G13" s="43">
        <f>IF(AND(進捗確認!$B53&lt;&gt;"",進捗確認!$A53&lt;=進捗確認!$F$3,N(目標設定!$D$11)&gt;0),SUM(進捗確認!G$42:G53)/目標設定!$D$11,NA())</f>
        <v/>
      </c>
      <c r="H13" s="43">
        <f>IF(AND(進捗確認!$B53&lt;&gt;"",進捗確認!$A53&lt;=進捗確認!$F$3,N(目標設定!$D$12)&gt;0),SUM(進捗確認!H$42:H53)/目標設定!$D$12,NA())</f>
        <v/>
      </c>
      <c r="I13" s="43">
        <f>IF(AND(進捗確認!$B53&lt;&gt;"",進捗確認!$A53&lt;=進捗確認!$F$3,N(目標設定!$D$13)&gt;0),SUM(進捗確認!I$42:I53)/目標設定!$D$13,NA())</f>
        <v/>
      </c>
      <c r="J13" s="43">
        <f>IF(AND(進捗確認!$B53&lt;&gt;"",進捗確認!$A53&lt;=進捗確認!$F$3,N(目標設定!$D$14)&gt;0),SUM(進捗確認!J$42:J53)/目標設定!$D$14,NA())</f>
        <v/>
      </c>
      <c r="K13" s="43">
        <f>IF(AND(進捗確認!$B53&lt;&gt;"",進捗確認!$A53&lt;=進捗確認!$F$3,N(目標設定!$D$15)&gt;0),SUM(進捗確認!K$42:K53)/目標設定!$D$15,NA())</f>
        <v/>
      </c>
      <c r="L13" s="43">
        <f>IF(AND(進捗確認!$B53&lt;&gt;"",進捗確認!$A53&lt;=進捗確認!$F$3,N(目標設定!$D$16)&gt;0),SUM(進捗確認!L$42:L53)/目標設定!$D$16,NA())</f>
        <v/>
      </c>
      <c r="M13" s="43">
        <f>IF(AND(進捗確認!$B53&lt;&gt;"",進捗確認!$A53&lt;=進捗確認!$F$3,N(目標設定!$D$17)&gt;0),SUM(進捗確認!M$42:M53)/目標設定!$D$17,NA())</f>
        <v/>
      </c>
      <c r="N13" s="43">
        <f>IF(AND(進捗確認!$B53&lt;&gt;"",進捗確認!$A53&lt;=進捗確認!$F$3,N(目標設定!$D$18)&gt;0),SUM(進捗確認!N$42:N53)/目標設定!$D$18,NA())</f>
        <v/>
      </c>
      <c r="O13" s="43">
        <f>IF(進捗確認!$B53="",NA(),$A13/進捗確認!$D$3)</f>
        <v/>
      </c>
    </row>
    <row r="14">
      <c r="A14" t="n">
        <v>13</v>
      </c>
      <c r="B14" s="58">
        <f>進捗確認!B54</f>
        <v/>
      </c>
      <c r="C14" s="43">
        <f>IF(AND(進捗確認!$B54&lt;&gt;"",進捗確認!$A54&lt;=進捗確認!$F$3,N(目標設定!$D$7)&gt;0),SUM(進捗確認!C$42:C54)/目標設定!$D$7,NA())</f>
        <v/>
      </c>
      <c r="D14" s="43">
        <f>IF(AND(進捗確認!$B54&lt;&gt;"",進捗確認!$A54&lt;=進捗確認!$F$3,N(目標設定!$D$8)&gt;0),SUM(進捗確認!D$42:D54)/目標設定!$D$8,NA())</f>
        <v/>
      </c>
      <c r="E14" s="43">
        <f>IF(AND(進捗確認!$B54&lt;&gt;"",進捗確認!$A54&lt;=進捗確認!$F$3,N(目標設定!$D$9)&gt;0),SUM(進捗確認!E$42:E54)/目標設定!$D$9,NA())</f>
        <v/>
      </c>
      <c r="F14" s="43">
        <f>IF(AND(進捗確認!$B54&lt;&gt;"",進捗確認!$A54&lt;=進捗確認!$F$3,N(目標設定!$D$10)&gt;0),SUM(進捗確認!F$42:F54)/目標設定!$D$10,NA())</f>
        <v/>
      </c>
      <c r="G14" s="43">
        <f>IF(AND(進捗確認!$B54&lt;&gt;"",進捗確認!$A54&lt;=進捗確認!$F$3,N(目標設定!$D$11)&gt;0),SUM(進捗確認!G$42:G54)/目標設定!$D$11,NA())</f>
        <v/>
      </c>
      <c r="H14" s="43">
        <f>IF(AND(進捗確認!$B54&lt;&gt;"",進捗確認!$A54&lt;=進捗確認!$F$3,N(目標設定!$D$12)&gt;0),SUM(進捗確認!H$42:H54)/目標設定!$D$12,NA())</f>
        <v/>
      </c>
      <c r="I14" s="43">
        <f>IF(AND(進捗確認!$B54&lt;&gt;"",進捗確認!$A54&lt;=進捗確認!$F$3,N(目標設定!$D$13)&gt;0),SUM(進捗確認!I$42:I54)/目標設定!$D$13,NA())</f>
        <v/>
      </c>
      <c r="J14" s="43">
        <f>IF(AND(進捗確認!$B54&lt;&gt;"",進捗確認!$A54&lt;=進捗確認!$F$3,N(目標設定!$D$14)&gt;0),SUM(進捗確認!J$42:J54)/目標設定!$D$14,NA())</f>
        <v/>
      </c>
      <c r="K14" s="43">
        <f>IF(AND(進捗確認!$B54&lt;&gt;"",進捗確認!$A54&lt;=進捗確認!$F$3,N(目標設定!$D$15)&gt;0),SUM(進捗確認!K$42:K54)/目標設定!$D$15,NA())</f>
        <v/>
      </c>
      <c r="L14" s="43">
        <f>IF(AND(進捗確認!$B54&lt;&gt;"",進捗確認!$A54&lt;=進捗確認!$F$3,N(目標設定!$D$16)&gt;0),SUM(進捗確認!L$42:L54)/目標設定!$D$16,NA())</f>
        <v/>
      </c>
      <c r="M14" s="43">
        <f>IF(AND(進捗確認!$B54&lt;&gt;"",進捗確認!$A54&lt;=進捗確認!$F$3,N(目標設定!$D$17)&gt;0),SUM(進捗確認!M$42:M54)/目標設定!$D$17,NA())</f>
        <v/>
      </c>
      <c r="N14" s="43">
        <f>IF(AND(進捗確認!$B54&lt;&gt;"",進捗確認!$A54&lt;=進捗確認!$F$3,N(目標設定!$D$18)&gt;0),SUM(進捗確認!N$42:N54)/目標設定!$D$18,NA())</f>
        <v/>
      </c>
      <c r="O14" s="43">
        <f>IF(進捗確認!$B54="",NA(),$A14/進捗確認!$D$3)</f>
        <v/>
      </c>
    </row>
    <row r="15">
      <c r="A15" t="n">
        <v>14</v>
      </c>
      <c r="B15" s="58">
        <f>進捗確認!B55</f>
        <v/>
      </c>
      <c r="C15" s="43">
        <f>IF(AND(進捗確認!$B55&lt;&gt;"",進捗確認!$A55&lt;=進捗確認!$F$3,N(目標設定!$D$7)&gt;0),SUM(進捗確認!C$42:C55)/目標設定!$D$7,NA())</f>
        <v/>
      </c>
      <c r="D15" s="43">
        <f>IF(AND(進捗確認!$B55&lt;&gt;"",進捗確認!$A55&lt;=進捗確認!$F$3,N(目標設定!$D$8)&gt;0),SUM(進捗確認!D$42:D55)/目標設定!$D$8,NA())</f>
        <v/>
      </c>
      <c r="E15" s="43">
        <f>IF(AND(進捗確認!$B55&lt;&gt;"",進捗確認!$A55&lt;=進捗確認!$F$3,N(目標設定!$D$9)&gt;0),SUM(進捗確認!E$42:E55)/目標設定!$D$9,NA())</f>
        <v/>
      </c>
      <c r="F15" s="43">
        <f>IF(AND(進捗確認!$B55&lt;&gt;"",進捗確認!$A55&lt;=進捗確認!$F$3,N(目標設定!$D$10)&gt;0),SUM(進捗確認!F$42:F55)/目標設定!$D$10,NA())</f>
        <v/>
      </c>
      <c r="G15" s="43">
        <f>IF(AND(進捗確認!$B55&lt;&gt;"",進捗確認!$A55&lt;=進捗確認!$F$3,N(目標設定!$D$11)&gt;0),SUM(進捗確認!G$42:G55)/目標設定!$D$11,NA())</f>
        <v/>
      </c>
      <c r="H15" s="43">
        <f>IF(AND(進捗確認!$B55&lt;&gt;"",進捗確認!$A55&lt;=進捗確認!$F$3,N(目標設定!$D$12)&gt;0),SUM(進捗確認!H$42:H55)/目標設定!$D$12,NA())</f>
        <v/>
      </c>
      <c r="I15" s="43">
        <f>IF(AND(進捗確認!$B55&lt;&gt;"",進捗確認!$A55&lt;=進捗確認!$F$3,N(目標設定!$D$13)&gt;0),SUM(進捗確認!I$42:I55)/目標設定!$D$13,NA())</f>
        <v/>
      </c>
      <c r="J15" s="43">
        <f>IF(AND(進捗確認!$B55&lt;&gt;"",進捗確認!$A55&lt;=進捗確認!$F$3,N(目標設定!$D$14)&gt;0),SUM(進捗確認!J$42:J55)/目標設定!$D$14,NA())</f>
        <v/>
      </c>
      <c r="K15" s="43">
        <f>IF(AND(進捗確認!$B55&lt;&gt;"",進捗確認!$A55&lt;=進捗確認!$F$3,N(目標設定!$D$15)&gt;0),SUM(進捗確認!K$42:K55)/目標設定!$D$15,NA())</f>
        <v/>
      </c>
      <c r="L15" s="43">
        <f>IF(AND(進捗確認!$B55&lt;&gt;"",進捗確認!$A55&lt;=進捗確認!$F$3,N(目標設定!$D$16)&gt;0),SUM(進捗確認!L$42:L55)/目標設定!$D$16,NA())</f>
        <v/>
      </c>
      <c r="M15" s="43">
        <f>IF(AND(進捗確認!$B55&lt;&gt;"",進捗確認!$A55&lt;=進捗確認!$F$3,N(目標設定!$D$17)&gt;0),SUM(進捗確認!M$42:M55)/目標設定!$D$17,NA())</f>
        <v/>
      </c>
      <c r="N15" s="43">
        <f>IF(AND(進捗確認!$B55&lt;&gt;"",進捗確認!$A55&lt;=進捗確認!$F$3,N(目標設定!$D$18)&gt;0),SUM(進捗確認!N$42:N55)/目標設定!$D$18,NA())</f>
        <v/>
      </c>
      <c r="O15" s="43">
        <f>IF(進捗確認!$B55="",NA(),$A15/進捗確認!$D$3)</f>
        <v/>
      </c>
    </row>
    <row r="16">
      <c r="A16" t="n">
        <v>15</v>
      </c>
      <c r="B16" s="58">
        <f>進捗確認!B56</f>
        <v/>
      </c>
      <c r="C16" s="43">
        <f>IF(AND(進捗確認!$B56&lt;&gt;"",進捗確認!$A56&lt;=進捗確認!$F$3,N(目標設定!$D$7)&gt;0),SUM(進捗確認!C$42:C56)/目標設定!$D$7,NA())</f>
        <v/>
      </c>
      <c r="D16" s="43">
        <f>IF(AND(進捗確認!$B56&lt;&gt;"",進捗確認!$A56&lt;=進捗確認!$F$3,N(目標設定!$D$8)&gt;0),SUM(進捗確認!D$42:D56)/目標設定!$D$8,NA())</f>
        <v/>
      </c>
      <c r="E16" s="43">
        <f>IF(AND(進捗確認!$B56&lt;&gt;"",進捗確認!$A56&lt;=進捗確認!$F$3,N(目標設定!$D$9)&gt;0),SUM(進捗確認!E$42:E56)/目標設定!$D$9,NA())</f>
        <v/>
      </c>
      <c r="F16" s="43">
        <f>IF(AND(進捗確認!$B56&lt;&gt;"",進捗確認!$A56&lt;=進捗確認!$F$3,N(目標設定!$D$10)&gt;0),SUM(進捗確認!F$42:F56)/目標設定!$D$10,NA())</f>
        <v/>
      </c>
      <c r="G16" s="43">
        <f>IF(AND(進捗確認!$B56&lt;&gt;"",進捗確認!$A56&lt;=進捗確認!$F$3,N(目標設定!$D$11)&gt;0),SUM(進捗確認!G$42:G56)/目標設定!$D$11,NA())</f>
        <v/>
      </c>
      <c r="H16" s="43">
        <f>IF(AND(進捗確認!$B56&lt;&gt;"",進捗確認!$A56&lt;=進捗確認!$F$3,N(目標設定!$D$12)&gt;0),SUM(進捗確認!H$42:H56)/目標設定!$D$12,NA())</f>
        <v/>
      </c>
      <c r="I16" s="43">
        <f>IF(AND(進捗確認!$B56&lt;&gt;"",進捗確認!$A56&lt;=進捗確認!$F$3,N(目標設定!$D$13)&gt;0),SUM(進捗確認!I$42:I56)/目標設定!$D$13,NA())</f>
        <v/>
      </c>
      <c r="J16" s="43">
        <f>IF(AND(進捗確認!$B56&lt;&gt;"",進捗確認!$A56&lt;=進捗確認!$F$3,N(目標設定!$D$14)&gt;0),SUM(進捗確認!J$42:J56)/目標設定!$D$14,NA())</f>
        <v/>
      </c>
      <c r="K16" s="43">
        <f>IF(AND(進捗確認!$B56&lt;&gt;"",進捗確認!$A56&lt;=進捗確認!$F$3,N(目標設定!$D$15)&gt;0),SUM(進捗確認!K$42:K56)/目標設定!$D$15,NA())</f>
        <v/>
      </c>
      <c r="L16" s="43">
        <f>IF(AND(進捗確認!$B56&lt;&gt;"",進捗確認!$A56&lt;=進捗確認!$F$3,N(目標設定!$D$16)&gt;0),SUM(進捗確認!L$42:L56)/目標設定!$D$16,NA())</f>
        <v/>
      </c>
      <c r="M16" s="43">
        <f>IF(AND(進捗確認!$B56&lt;&gt;"",進捗確認!$A56&lt;=進捗確認!$F$3,N(目標設定!$D$17)&gt;0),SUM(進捗確認!M$42:M56)/目標設定!$D$17,NA())</f>
        <v/>
      </c>
      <c r="N16" s="43">
        <f>IF(AND(進捗確認!$B56&lt;&gt;"",進捗確認!$A56&lt;=進捗確認!$F$3,N(目標設定!$D$18)&gt;0),SUM(進捗確認!N$42:N56)/目標設定!$D$18,NA())</f>
        <v/>
      </c>
      <c r="O16" s="43">
        <f>IF(進捗確認!$B56="",NA(),$A16/進捗確認!$D$3)</f>
        <v/>
      </c>
    </row>
    <row r="17">
      <c r="A17" t="n">
        <v>16</v>
      </c>
      <c r="B17" s="58">
        <f>進捗確認!B57</f>
        <v/>
      </c>
      <c r="C17" s="43">
        <f>IF(AND(進捗確認!$B57&lt;&gt;"",進捗確認!$A57&lt;=進捗確認!$F$3,N(目標設定!$D$7)&gt;0),SUM(進捗確認!C$42:C57)/目標設定!$D$7,NA())</f>
        <v/>
      </c>
      <c r="D17" s="43">
        <f>IF(AND(進捗確認!$B57&lt;&gt;"",進捗確認!$A57&lt;=進捗確認!$F$3,N(目標設定!$D$8)&gt;0),SUM(進捗確認!D$42:D57)/目標設定!$D$8,NA())</f>
        <v/>
      </c>
      <c r="E17" s="43">
        <f>IF(AND(進捗確認!$B57&lt;&gt;"",進捗確認!$A57&lt;=進捗確認!$F$3,N(目標設定!$D$9)&gt;0),SUM(進捗確認!E$42:E57)/目標設定!$D$9,NA())</f>
        <v/>
      </c>
      <c r="F17" s="43">
        <f>IF(AND(進捗確認!$B57&lt;&gt;"",進捗確認!$A57&lt;=進捗確認!$F$3,N(目標設定!$D$10)&gt;0),SUM(進捗確認!F$42:F57)/目標設定!$D$10,NA())</f>
        <v/>
      </c>
      <c r="G17" s="43">
        <f>IF(AND(進捗確認!$B57&lt;&gt;"",進捗確認!$A57&lt;=進捗確認!$F$3,N(目標設定!$D$11)&gt;0),SUM(進捗確認!G$42:G57)/目標設定!$D$11,NA())</f>
        <v/>
      </c>
      <c r="H17" s="43">
        <f>IF(AND(進捗確認!$B57&lt;&gt;"",進捗確認!$A57&lt;=進捗確認!$F$3,N(目標設定!$D$12)&gt;0),SUM(進捗確認!H$42:H57)/目標設定!$D$12,NA())</f>
        <v/>
      </c>
      <c r="I17" s="43">
        <f>IF(AND(進捗確認!$B57&lt;&gt;"",進捗確認!$A57&lt;=進捗確認!$F$3,N(目標設定!$D$13)&gt;0),SUM(進捗確認!I$42:I57)/目標設定!$D$13,NA())</f>
        <v/>
      </c>
      <c r="J17" s="43">
        <f>IF(AND(進捗確認!$B57&lt;&gt;"",進捗確認!$A57&lt;=進捗確認!$F$3,N(目標設定!$D$14)&gt;0),SUM(進捗確認!J$42:J57)/目標設定!$D$14,NA())</f>
        <v/>
      </c>
      <c r="K17" s="43">
        <f>IF(AND(進捗確認!$B57&lt;&gt;"",進捗確認!$A57&lt;=進捗確認!$F$3,N(目標設定!$D$15)&gt;0),SUM(進捗確認!K$42:K57)/目標設定!$D$15,NA())</f>
        <v/>
      </c>
      <c r="L17" s="43">
        <f>IF(AND(進捗確認!$B57&lt;&gt;"",進捗確認!$A57&lt;=進捗確認!$F$3,N(目標設定!$D$16)&gt;0),SUM(進捗確認!L$42:L57)/目標設定!$D$16,NA())</f>
        <v/>
      </c>
      <c r="M17" s="43">
        <f>IF(AND(進捗確認!$B57&lt;&gt;"",進捗確認!$A57&lt;=進捗確認!$F$3,N(目標設定!$D$17)&gt;0),SUM(進捗確認!M$42:M57)/目標設定!$D$17,NA())</f>
        <v/>
      </c>
      <c r="N17" s="43">
        <f>IF(AND(進捗確認!$B57&lt;&gt;"",進捗確認!$A57&lt;=進捗確認!$F$3,N(目標設定!$D$18)&gt;0),SUM(進捗確認!N$42:N57)/目標設定!$D$18,NA())</f>
        <v/>
      </c>
      <c r="O17" s="43">
        <f>IF(進捗確認!$B57="",NA(),$A17/進捗確認!$D$3)</f>
        <v/>
      </c>
    </row>
    <row r="18">
      <c r="A18" t="n">
        <v>17</v>
      </c>
      <c r="B18" s="58">
        <f>進捗確認!B58</f>
        <v/>
      </c>
      <c r="C18" s="43">
        <f>IF(AND(進捗確認!$B58&lt;&gt;"",進捗確認!$A58&lt;=進捗確認!$F$3,N(目標設定!$D$7)&gt;0),SUM(進捗確認!C$42:C58)/目標設定!$D$7,NA())</f>
        <v/>
      </c>
      <c r="D18" s="43">
        <f>IF(AND(進捗確認!$B58&lt;&gt;"",進捗確認!$A58&lt;=進捗確認!$F$3,N(目標設定!$D$8)&gt;0),SUM(進捗確認!D$42:D58)/目標設定!$D$8,NA())</f>
        <v/>
      </c>
      <c r="E18" s="43">
        <f>IF(AND(進捗確認!$B58&lt;&gt;"",進捗確認!$A58&lt;=進捗確認!$F$3,N(目標設定!$D$9)&gt;0),SUM(進捗確認!E$42:E58)/目標設定!$D$9,NA())</f>
        <v/>
      </c>
      <c r="F18" s="43">
        <f>IF(AND(進捗確認!$B58&lt;&gt;"",進捗確認!$A58&lt;=進捗確認!$F$3,N(目標設定!$D$10)&gt;0),SUM(進捗確認!F$42:F58)/目標設定!$D$10,NA())</f>
        <v/>
      </c>
      <c r="G18" s="43">
        <f>IF(AND(進捗確認!$B58&lt;&gt;"",進捗確認!$A58&lt;=進捗確認!$F$3,N(目標設定!$D$11)&gt;0),SUM(進捗確認!G$42:G58)/目標設定!$D$11,NA())</f>
        <v/>
      </c>
      <c r="H18" s="43">
        <f>IF(AND(進捗確認!$B58&lt;&gt;"",進捗確認!$A58&lt;=進捗確認!$F$3,N(目標設定!$D$12)&gt;0),SUM(進捗確認!H$42:H58)/目標設定!$D$12,NA())</f>
        <v/>
      </c>
      <c r="I18" s="43">
        <f>IF(AND(進捗確認!$B58&lt;&gt;"",進捗確認!$A58&lt;=進捗確認!$F$3,N(目標設定!$D$13)&gt;0),SUM(進捗確認!I$42:I58)/目標設定!$D$13,NA())</f>
        <v/>
      </c>
      <c r="J18" s="43">
        <f>IF(AND(進捗確認!$B58&lt;&gt;"",進捗確認!$A58&lt;=進捗確認!$F$3,N(目標設定!$D$14)&gt;0),SUM(進捗確認!J$42:J58)/目標設定!$D$14,NA())</f>
        <v/>
      </c>
      <c r="K18" s="43">
        <f>IF(AND(進捗確認!$B58&lt;&gt;"",進捗確認!$A58&lt;=進捗確認!$F$3,N(目標設定!$D$15)&gt;0),SUM(進捗確認!K$42:K58)/目標設定!$D$15,NA())</f>
        <v/>
      </c>
      <c r="L18" s="43">
        <f>IF(AND(進捗確認!$B58&lt;&gt;"",進捗確認!$A58&lt;=進捗確認!$F$3,N(目標設定!$D$16)&gt;0),SUM(進捗確認!L$42:L58)/目標設定!$D$16,NA())</f>
        <v/>
      </c>
      <c r="M18" s="43">
        <f>IF(AND(進捗確認!$B58&lt;&gt;"",進捗確認!$A58&lt;=進捗確認!$F$3,N(目標設定!$D$17)&gt;0),SUM(進捗確認!M$42:M58)/目標設定!$D$17,NA())</f>
        <v/>
      </c>
      <c r="N18" s="43">
        <f>IF(AND(進捗確認!$B58&lt;&gt;"",進捗確認!$A58&lt;=進捗確認!$F$3,N(目標設定!$D$18)&gt;0),SUM(進捗確認!N$42:N58)/目標設定!$D$18,NA())</f>
        <v/>
      </c>
      <c r="O18" s="43">
        <f>IF(進捗確認!$B58="",NA(),$A18/進捗確認!$D$3)</f>
        <v/>
      </c>
    </row>
    <row r="19">
      <c r="A19" t="n">
        <v>18</v>
      </c>
      <c r="B19" s="58">
        <f>進捗確認!B59</f>
        <v/>
      </c>
      <c r="C19" s="43">
        <f>IF(AND(進捗確認!$B59&lt;&gt;"",進捗確認!$A59&lt;=進捗確認!$F$3,N(目標設定!$D$7)&gt;0),SUM(進捗確認!C$42:C59)/目標設定!$D$7,NA())</f>
        <v/>
      </c>
      <c r="D19" s="43">
        <f>IF(AND(進捗確認!$B59&lt;&gt;"",進捗確認!$A59&lt;=進捗確認!$F$3,N(目標設定!$D$8)&gt;0),SUM(進捗確認!D$42:D59)/目標設定!$D$8,NA())</f>
        <v/>
      </c>
      <c r="E19" s="43">
        <f>IF(AND(進捗確認!$B59&lt;&gt;"",進捗確認!$A59&lt;=進捗確認!$F$3,N(目標設定!$D$9)&gt;0),SUM(進捗確認!E$42:E59)/目標設定!$D$9,NA())</f>
        <v/>
      </c>
      <c r="F19" s="43">
        <f>IF(AND(進捗確認!$B59&lt;&gt;"",進捗確認!$A59&lt;=進捗確認!$F$3,N(目標設定!$D$10)&gt;0),SUM(進捗確認!F$42:F59)/目標設定!$D$10,NA())</f>
        <v/>
      </c>
      <c r="G19" s="43">
        <f>IF(AND(進捗確認!$B59&lt;&gt;"",進捗確認!$A59&lt;=進捗確認!$F$3,N(目標設定!$D$11)&gt;0),SUM(進捗確認!G$42:G59)/目標設定!$D$11,NA())</f>
        <v/>
      </c>
      <c r="H19" s="43">
        <f>IF(AND(進捗確認!$B59&lt;&gt;"",進捗確認!$A59&lt;=進捗確認!$F$3,N(目標設定!$D$12)&gt;0),SUM(進捗確認!H$42:H59)/目標設定!$D$12,NA())</f>
        <v/>
      </c>
      <c r="I19" s="43">
        <f>IF(AND(進捗確認!$B59&lt;&gt;"",進捗確認!$A59&lt;=進捗確認!$F$3,N(目標設定!$D$13)&gt;0),SUM(進捗確認!I$42:I59)/目標設定!$D$13,NA())</f>
        <v/>
      </c>
      <c r="J19" s="43">
        <f>IF(AND(進捗確認!$B59&lt;&gt;"",進捗確認!$A59&lt;=進捗確認!$F$3,N(目標設定!$D$14)&gt;0),SUM(進捗確認!J$42:J59)/目標設定!$D$14,NA())</f>
        <v/>
      </c>
      <c r="K19" s="43">
        <f>IF(AND(進捗確認!$B59&lt;&gt;"",進捗確認!$A59&lt;=進捗確認!$F$3,N(目標設定!$D$15)&gt;0),SUM(進捗確認!K$42:K59)/目標設定!$D$15,NA())</f>
        <v/>
      </c>
      <c r="L19" s="43">
        <f>IF(AND(進捗確認!$B59&lt;&gt;"",進捗確認!$A59&lt;=進捗確認!$F$3,N(目標設定!$D$16)&gt;0),SUM(進捗確認!L$42:L59)/目標設定!$D$16,NA())</f>
        <v/>
      </c>
      <c r="M19" s="43">
        <f>IF(AND(進捗確認!$B59&lt;&gt;"",進捗確認!$A59&lt;=進捗確認!$F$3,N(目標設定!$D$17)&gt;0),SUM(進捗確認!M$42:M59)/目標設定!$D$17,NA())</f>
        <v/>
      </c>
      <c r="N19" s="43">
        <f>IF(AND(進捗確認!$B59&lt;&gt;"",進捗確認!$A59&lt;=進捗確認!$F$3,N(目標設定!$D$18)&gt;0),SUM(進捗確認!N$42:N59)/目標設定!$D$18,NA())</f>
        <v/>
      </c>
      <c r="O19" s="43">
        <f>IF(進捗確認!$B59="",NA(),$A19/進捗確認!$D$3)</f>
        <v/>
      </c>
    </row>
    <row r="20">
      <c r="A20" t="n">
        <v>19</v>
      </c>
      <c r="B20" s="58">
        <f>進捗確認!B60</f>
        <v/>
      </c>
      <c r="C20" s="43">
        <f>IF(AND(進捗確認!$B60&lt;&gt;"",進捗確認!$A60&lt;=進捗確認!$F$3,N(目標設定!$D$7)&gt;0),SUM(進捗確認!C$42:C60)/目標設定!$D$7,NA())</f>
        <v/>
      </c>
      <c r="D20" s="43">
        <f>IF(AND(進捗確認!$B60&lt;&gt;"",進捗確認!$A60&lt;=進捗確認!$F$3,N(目標設定!$D$8)&gt;0),SUM(進捗確認!D$42:D60)/目標設定!$D$8,NA())</f>
        <v/>
      </c>
      <c r="E20" s="43">
        <f>IF(AND(進捗確認!$B60&lt;&gt;"",進捗確認!$A60&lt;=進捗確認!$F$3,N(目標設定!$D$9)&gt;0),SUM(進捗確認!E$42:E60)/目標設定!$D$9,NA())</f>
        <v/>
      </c>
      <c r="F20" s="43">
        <f>IF(AND(進捗確認!$B60&lt;&gt;"",進捗確認!$A60&lt;=進捗確認!$F$3,N(目標設定!$D$10)&gt;0),SUM(進捗確認!F$42:F60)/目標設定!$D$10,NA())</f>
        <v/>
      </c>
      <c r="G20" s="43">
        <f>IF(AND(進捗確認!$B60&lt;&gt;"",進捗確認!$A60&lt;=進捗確認!$F$3,N(目標設定!$D$11)&gt;0),SUM(進捗確認!G$42:G60)/目標設定!$D$11,NA())</f>
        <v/>
      </c>
      <c r="H20" s="43">
        <f>IF(AND(進捗確認!$B60&lt;&gt;"",進捗確認!$A60&lt;=進捗確認!$F$3,N(目標設定!$D$12)&gt;0),SUM(進捗確認!H$42:H60)/目標設定!$D$12,NA())</f>
        <v/>
      </c>
      <c r="I20" s="43">
        <f>IF(AND(進捗確認!$B60&lt;&gt;"",進捗確認!$A60&lt;=進捗確認!$F$3,N(目標設定!$D$13)&gt;0),SUM(進捗確認!I$42:I60)/目標設定!$D$13,NA())</f>
        <v/>
      </c>
      <c r="J20" s="43">
        <f>IF(AND(進捗確認!$B60&lt;&gt;"",進捗確認!$A60&lt;=進捗確認!$F$3,N(目標設定!$D$14)&gt;0),SUM(進捗確認!J$42:J60)/目標設定!$D$14,NA())</f>
        <v/>
      </c>
      <c r="K20" s="43">
        <f>IF(AND(進捗確認!$B60&lt;&gt;"",進捗確認!$A60&lt;=進捗確認!$F$3,N(目標設定!$D$15)&gt;0),SUM(進捗確認!K$42:K60)/目標設定!$D$15,NA())</f>
        <v/>
      </c>
      <c r="L20" s="43">
        <f>IF(AND(進捗確認!$B60&lt;&gt;"",進捗確認!$A60&lt;=進捗確認!$F$3,N(目標設定!$D$16)&gt;0),SUM(進捗確認!L$42:L60)/目標設定!$D$16,NA())</f>
        <v/>
      </c>
      <c r="M20" s="43">
        <f>IF(AND(進捗確認!$B60&lt;&gt;"",進捗確認!$A60&lt;=進捗確認!$F$3,N(目標設定!$D$17)&gt;0),SUM(進捗確認!M$42:M60)/目標設定!$D$17,NA())</f>
        <v/>
      </c>
      <c r="N20" s="43">
        <f>IF(AND(進捗確認!$B60&lt;&gt;"",進捗確認!$A60&lt;=進捗確認!$F$3,N(目標設定!$D$18)&gt;0),SUM(進捗確認!N$42:N60)/目標設定!$D$18,NA())</f>
        <v/>
      </c>
      <c r="O20" s="43">
        <f>IF(進捗確認!$B60="",NA(),$A20/進捗確認!$D$3)</f>
        <v/>
      </c>
    </row>
    <row r="21">
      <c r="A21" t="n">
        <v>20</v>
      </c>
      <c r="B21" s="58">
        <f>進捗確認!B61</f>
        <v/>
      </c>
      <c r="C21" s="43">
        <f>IF(AND(進捗確認!$B61&lt;&gt;"",進捗確認!$A61&lt;=進捗確認!$F$3,N(目標設定!$D$7)&gt;0),SUM(進捗確認!C$42:C61)/目標設定!$D$7,NA())</f>
        <v/>
      </c>
      <c r="D21" s="43">
        <f>IF(AND(進捗確認!$B61&lt;&gt;"",進捗確認!$A61&lt;=進捗確認!$F$3,N(目標設定!$D$8)&gt;0),SUM(進捗確認!D$42:D61)/目標設定!$D$8,NA())</f>
        <v/>
      </c>
      <c r="E21" s="43">
        <f>IF(AND(進捗確認!$B61&lt;&gt;"",進捗確認!$A61&lt;=進捗確認!$F$3,N(目標設定!$D$9)&gt;0),SUM(進捗確認!E$42:E61)/目標設定!$D$9,NA())</f>
        <v/>
      </c>
      <c r="F21" s="43">
        <f>IF(AND(進捗確認!$B61&lt;&gt;"",進捗確認!$A61&lt;=進捗確認!$F$3,N(目標設定!$D$10)&gt;0),SUM(進捗確認!F$42:F61)/目標設定!$D$10,NA())</f>
        <v/>
      </c>
      <c r="G21" s="43">
        <f>IF(AND(進捗確認!$B61&lt;&gt;"",進捗確認!$A61&lt;=進捗確認!$F$3,N(目標設定!$D$11)&gt;0),SUM(進捗確認!G$42:G61)/目標設定!$D$11,NA())</f>
        <v/>
      </c>
      <c r="H21" s="43">
        <f>IF(AND(進捗確認!$B61&lt;&gt;"",進捗確認!$A61&lt;=進捗確認!$F$3,N(目標設定!$D$12)&gt;0),SUM(進捗確認!H$42:H61)/目標設定!$D$12,NA())</f>
        <v/>
      </c>
      <c r="I21" s="43">
        <f>IF(AND(進捗確認!$B61&lt;&gt;"",進捗確認!$A61&lt;=進捗確認!$F$3,N(目標設定!$D$13)&gt;0),SUM(進捗確認!I$42:I61)/目標設定!$D$13,NA())</f>
        <v/>
      </c>
      <c r="J21" s="43">
        <f>IF(AND(進捗確認!$B61&lt;&gt;"",進捗確認!$A61&lt;=進捗確認!$F$3,N(目標設定!$D$14)&gt;0),SUM(進捗確認!J$42:J61)/目標設定!$D$14,NA())</f>
        <v/>
      </c>
      <c r="K21" s="43">
        <f>IF(AND(進捗確認!$B61&lt;&gt;"",進捗確認!$A61&lt;=進捗確認!$F$3,N(目標設定!$D$15)&gt;0),SUM(進捗確認!K$42:K61)/目標設定!$D$15,NA())</f>
        <v/>
      </c>
      <c r="L21" s="43">
        <f>IF(AND(進捗確認!$B61&lt;&gt;"",進捗確認!$A61&lt;=進捗確認!$F$3,N(目標設定!$D$16)&gt;0),SUM(進捗確認!L$42:L61)/目標設定!$D$16,NA())</f>
        <v/>
      </c>
      <c r="M21" s="43">
        <f>IF(AND(進捗確認!$B61&lt;&gt;"",進捗確認!$A61&lt;=進捗確認!$F$3,N(目標設定!$D$17)&gt;0),SUM(進捗確認!M$42:M61)/目標設定!$D$17,NA())</f>
        <v/>
      </c>
      <c r="N21" s="43">
        <f>IF(AND(進捗確認!$B61&lt;&gt;"",進捗確認!$A61&lt;=進捗確認!$F$3,N(目標設定!$D$18)&gt;0),SUM(進捗確認!N$42:N61)/目標設定!$D$18,NA())</f>
        <v/>
      </c>
      <c r="O21" s="43">
        <f>IF(進捗確認!$B61="",NA(),$A21/進捗確認!$D$3)</f>
        <v/>
      </c>
    </row>
    <row r="22">
      <c r="A22" t="n">
        <v>21</v>
      </c>
      <c r="B22" s="58">
        <f>進捗確認!B62</f>
        <v/>
      </c>
      <c r="C22" s="43">
        <f>IF(AND(進捗確認!$B62&lt;&gt;"",進捗確認!$A62&lt;=進捗確認!$F$3,N(目標設定!$D$7)&gt;0),SUM(進捗確認!C$42:C62)/目標設定!$D$7,NA())</f>
        <v/>
      </c>
      <c r="D22" s="43">
        <f>IF(AND(進捗確認!$B62&lt;&gt;"",進捗確認!$A62&lt;=進捗確認!$F$3,N(目標設定!$D$8)&gt;0),SUM(進捗確認!D$42:D62)/目標設定!$D$8,NA())</f>
        <v/>
      </c>
      <c r="E22" s="43">
        <f>IF(AND(進捗確認!$B62&lt;&gt;"",進捗確認!$A62&lt;=進捗確認!$F$3,N(目標設定!$D$9)&gt;0),SUM(進捗確認!E$42:E62)/目標設定!$D$9,NA())</f>
        <v/>
      </c>
      <c r="F22" s="43">
        <f>IF(AND(進捗確認!$B62&lt;&gt;"",進捗確認!$A62&lt;=進捗確認!$F$3,N(目標設定!$D$10)&gt;0),SUM(進捗確認!F$42:F62)/目標設定!$D$10,NA())</f>
        <v/>
      </c>
      <c r="G22" s="43">
        <f>IF(AND(進捗確認!$B62&lt;&gt;"",進捗確認!$A62&lt;=進捗確認!$F$3,N(目標設定!$D$11)&gt;0),SUM(進捗確認!G$42:G62)/目標設定!$D$11,NA())</f>
        <v/>
      </c>
      <c r="H22" s="43">
        <f>IF(AND(進捗確認!$B62&lt;&gt;"",進捗確認!$A62&lt;=進捗確認!$F$3,N(目標設定!$D$12)&gt;0),SUM(進捗確認!H$42:H62)/目標設定!$D$12,NA())</f>
        <v/>
      </c>
      <c r="I22" s="43">
        <f>IF(AND(進捗確認!$B62&lt;&gt;"",進捗確認!$A62&lt;=進捗確認!$F$3,N(目標設定!$D$13)&gt;0),SUM(進捗確認!I$42:I62)/目標設定!$D$13,NA())</f>
        <v/>
      </c>
      <c r="J22" s="43">
        <f>IF(AND(進捗確認!$B62&lt;&gt;"",進捗確認!$A62&lt;=進捗確認!$F$3,N(目標設定!$D$14)&gt;0),SUM(進捗確認!J$42:J62)/目標設定!$D$14,NA())</f>
        <v/>
      </c>
      <c r="K22" s="43">
        <f>IF(AND(進捗確認!$B62&lt;&gt;"",進捗確認!$A62&lt;=進捗確認!$F$3,N(目標設定!$D$15)&gt;0),SUM(進捗確認!K$42:K62)/目標設定!$D$15,NA())</f>
        <v/>
      </c>
      <c r="L22" s="43">
        <f>IF(AND(進捗確認!$B62&lt;&gt;"",進捗確認!$A62&lt;=進捗確認!$F$3,N(目標設定!$D$16)&gt;0),SUM(進捗確認!L$42:L62)/目標設定!$D$16,NA())</f>
        <v/>
      </c>
      <c r="M22" s="43">
        <f>IF(AND(進捗確認!$B62&lt;&gt;"",進捗確認!$A62&lt;=進捗確認!$F$3,N(目標設定!$D$17)&gt;0),SUM(進捗確認!M$42:M62)/目標設定!$D$17,NA())</f>
        <v/>
      </c>
      <c r="N22" s="43">
        <f>IF(AND(進捗確認!$B62&lt;&gt;"",進捗確認!$A62&lt;=進捗確認!$F$3,N(目標設定!$D$18)&gt;0),SUM(進捗確認!N$42:N62)/目標設定!$D$18,NA())</f>
        <v/>
      </c>
      <c r="O22" s="43">
        <f>IF(進捗確認!$B62="",NA(),$A22/進捗確認!$D$3)</f>
        <v/>
      </c>
    </row>
    <row r="23">
      <c r="A23" t="n">
        <v>22</v>
      </c>
      <c r="B23" s="58">
        <f>進捗確認!B63</f>
        <v/>
      </c>
      <c r="C23" s="43">
        <f>IF(AND(進捗確認!$B63&lt;&gt;"",進捗確認!$A63&lt;=進捗確認!$F$3,N(目標設定!$D$7)&gt;0),SUM(進捗確認!C$42:C63)/目標設定!$D$7,NA())</f>
        <v/>
      </c>
      <c r="D23" s="43">
        <f>IF(AND(進捗確認!$B63&lt;&gt;"",進捗確認!$A63&lt;=進捗確認!$F$3,N(目標設定!$D$8)&gt;0),SUM(進捗確認!D$42:D63)/目標設定!$D$8,NA())</f>
        <v/>
      </c>
      <c r="E23" s="43">
        <f>IF(AND(進捗確認!$B63&lt;&gt;"",進捗確認!$A63&lt;=進捗確認!$F$3,N(目標設定!$D$9)&gt;0),SUM(進捗確認!E$42:E63)/目標設定!$D$9,NA())</f>
        <v/>
      </c>
      <c r="F23" s="43">
        <f>IF(AND(進捗確認!$B63&lt;&gt;"",進捗確認!$A63&lt;=進捗確認!$F$3,N(目標設定!$D$10)&gt;0),SUM(進捗確認!F$42:F63)/目標設定!$D$10,NA())</f>
        <v/>
      </c>
      <c r="G23" s="43">
        <f>IF(AND(進捗確認!$B63&lt;&gt;"",進捗確認!$A63&lt;=進捗確認!$F$3,N(目標設定!$D$11)&gt;0),SUM(進捗確認!G$42:G63)/目標設定!$D$11,NA())</f>
        <v/>
      </c>
      <c r="H23" s="43">
        <f>IF(AND(進捗確認!$B63&lt;&gt;"",進捗確認!$A63&lt;=進捗確認!$F$3,N(目標設定!$D$12)&gt;0),SUM(進捗確認!H$42:H63)/目標設定!$D$12,NA())</f>
        <v/>
      </c>
      <c r="I23" s="43">
        <f>IF(AND(進捗確認!$B63&lt;&gt;"",進捗確認!$A63&lt;=進捗確認!$F$3,N(目標設定!$D$13)&gt;0),SUM(進捗確認!I$42:I63)/目標設定!$D$13,NA())</f>
        <v/>
      </c>
      <c r="J23" s="43">
        <f>IF(AND(進捗確認!$B63&lt;&gt;"",進捗確認!$A63&lt;=進捗確認!$F$3,N(目標設定!$D$14)&gt;0),SUM(進捗確認!J$42:J63)/目標設定!$D$14,NA())</f>
        <v/>
      </c>
      <c r="K23" s="43">
        <f>IF(AND(進捗確認!$B63&lt;&gt;"",進捗確認!$A63&lt;=進捗確認!$F$3,N(目標設定!$D$15)&gt;0),SUM(進捗確認!K$42:K63)/目標設定!$D$15,NA())</f>
        <v/>
      </c>
      <c r="L23" s="43">
        <f>IF(AND(進捗確認!$B63&lt;&gt;"",進捗確認!$A63&lt;=進捗確認!$F$3,N(目標設定!$D$16)&gt;0),SUM(進捗確認!L$42:L63)/目標設定!$D$16,NA())</f>
        <v/>
      </c>
      <c r="M23" s="43">
        <f>IF(AND(進捗確認!$B63&lt;&gt;"",進捗確認!$A63&lt;=進捗確認!$F$3,N(目標設定!$D$17)&gt;0),SUM(進捗確認!M$42:M63)/目標設定!$D$17,NA())</f>
        <v/>
      </c>
      <c r="N23" s="43">
        <f>IF(AND(進捗確認!$B63&lt;&gt;"",進捗確認!$A63&lt;=進捗確認!$F$3,N(目標設定!$D$18)&gt;0),SUM(進捗確認!N$42:N63)/目標設定!$D$18,NA())</f>
        <v/>
      </c>
      <c r="O23" s="43">
        <f>IF(進捗確認!$B63="",NA(),$A23/進捗確認!$D$3)</f>
        <v/>
      </c>
    </row>
    <row r="24">
      <c r="A24" t="n">
        <v>23</v>
      </c>
      <c r="B24" s="58">
        <f>進捗確認!B64</f>
        <v/>
      </c>
      <c r="C24" s="43">
        <f>IF(AND(進捗確認!$B64&lt;&gt;"",進捗確認!$A64&lt;=進捗確認!$F$3,N(目標設定!$D$7)&gt;0),SUM(進捗確認!C$42:C64)/目標設定!$D$7,NA())</f>
        <v/>
      </c>
      <c r="D24" s="43">
        <f>IF(AND(進捗確認!$B64&lt;&gt;"",進捗確認!$A64&lt;=進捗確認!$F$3,N(目標設定!$D$8)&gt;0),SUM(進捗確認!D$42:D64)/目標設定!$D$8,NA())</f>
        <v/>
      </c>
      <c r="E24" s="43">
        <f>IF(AND(進捗確認!$B64&lt;&gt;"",進捗確認!$A64&lt;=進捗確認!$F$3,N(目標設定!$D$9)&gt;0),SUM(進捗確認!E$42:E64)/目標設定!$D$9,NA())</f>
        <v/>
      </c>
      <c r="F24" s="43">
        <f>IF(AND(進捗確認!$B64&lt;&gt;"",進捗確認!$A64&lt;=進捗確認!$F$3,N(目標設定!$D$10)&gt;0),SUM(進捗確認!F$42:F64)/目標設定!$D$10,NA())</f>
        <v/>
      </c>
      <c r="G24" s="43">
        <f>IF(AND(進捗確認!$B64&lt;&gt;"",進捗確認!$A64&lt;=進捗確認!$F$3,N(目標設定!$D$11)&gt;0),SUM(進捗確認!G$42:G64)/目標設定!$D$11,NA())</f>
        <v/>
      </c>
      <c r="H24" s="43">
        <f>IF(AND(進捗確認!$B64&lt;&gt;"",進捗確認!$A64&lt;=進捗確認!$F$3,N(目標設定!$D$12)&gt;0),SUM(進捗確認!H$42:H64)/目標設定!$D$12,NA())</f>
        <v/>
      </c>
      <c r="I24" s="43">
        <f>IF(AND(進捗確認!$B64&lt;&gt;"",進捗確認!$A64&lt;=進捗確認!$F$3,N(目標設定!$D$13)&gt;0),SUM(進捗確認!I$42:I64)/目標設定!$D$13,NA())</f>
        <v/>
      </c>
      <c r="J24" s="43">
        <f>IF(AND(進捗確認!$B64&lt;&gt;"",進捗確認!$A64&lt;=進捗確認!$F$3,N(目標設定!$D$14)&gt;0),SUM(進捗確認!J$42:J64)/目標設定!$D$14,NA())</f>
        <v/>
      </c>
      <c r="K24" s="43">
        <f>IF(AND(進捗確認!$B64&lt;&gt;"",進捗確認!$A64&lt;=進捗確認!$F$3,N(目標設定!$D$15)&gt;0),SUM(進捗確認!K$42:K64)/目標設定!$D$15,NA())</f>
        <v/>
      </c>
      <c r="L24" s="43">
        <f>IF(AND(進捗確認!$B64&lt;&gt;"",進捗確認!$A64&lt;=進捗確認!$F$3,N(目標設定!$D$16)&gt;0),SUM(進捗確認!L$42:L64)/目標設定!$D$16,NA())</f>
        <v/>
      </c>
      <c r="M24" s="43">
        <f>IF(AND(進捗確認!$B64&lt;&gt;"",進捗確認!$A64&lt;=進捗確認!$F$3,N(目標設定!$D$17)&gt;0),SUM(進捗確認!M$42:M64)/目標設定!$D$17,NA())</f>
        <v/>
      </c>
      <c r="N24" s="43">
        <f>IF(AND(進捗確認!$B64&lt;&gt;"",進捗確認!$A64&lt;=進捗確認!$F$3,N(目標設定!$D$18)&gt;0),SUM(進捗確認!N$42:N64)/目標設定!$D$18,NA())</f>
        <v/>
      </c>
      <c r="O24" s="43">
        <f>IF(進捗確認!$B64="",NA(),$A24/進捗確認!$D$3)</f>
        <v/>
      </c>
    </row>
    <row r="25">
      <c r="A25" t="n">
        <v>24</v>
      </c>
      <c r="B25" s="58">
        <f>進捗確認!B65</f>
        <v/>
      </c>
      <c r="C25" s="43">
        <f>IF(AND(進捗確認!$B65&lt;&gt;"",進捗確認!$A65&lt;=進捗確認!$F$3,N(目標設定!$D$7)&gt;0),SUM(進捗確認!C$42:C65)/目標設定!$D$7,NA())</f>
        <v/>
      </c>
      <c r="D25" s="43">
        <f>IF(AND(進捗確認!$B65&lt;&gt;"",進捗確認!$A65&lt;=進捗確認!$F$3,N(目標設定!$D$8)&gt;0),SUM(進捗確認!D$42:D65)/目標設定!$D$8,NA())</f>
        <v/>
      </c>
      <c r="E25" s="43">
        <f>IF(AND(進捗確認!$B65&lt;&gt;"",進捗確認!$A65&lt;=進捗確認!$F$3,N(目標設定!$D$9)&gt;0),SUM(進捗確認!E$42:E65)/目標設定!$D$9,NA())</f>
        <v/>
      </c>
      <c r="F25" s="43">
        <f>IF(AND(進捗確認!$B65&lt;&gt;"",進捗確認!$A65&lt;=進捗確認!$F$3,N(目標設定!$D$10)&gt;0),SUM(進捗確認!F$42:F65)/目標設定!$D$10,NA())</f>
        <v/>
      </c>
      <c r="G25" s="43">
        <f>IF(AND(進捗確認!$B65&lt;&gt;"",進捗確認!$A65&lt;=進捗確認!$F$3,N(目標設定!$D$11)&gt;0),SUM(進捗確認!G$42:G65)/目標設定!$D$11,NA())</f>
        <v/>
      </c>
      <c r="H25" s="43">
        <f>IF(AND(進捗確認!$B65&lt;&gt;"",進捗確認!$A65&lt;=進捗確認!$F$3,N(目標設定!$D$12)&gt;0),SUM(進捗確認!H$42:H65)/目標設定!$D$12,NA())</f>
        <v/>
      </c>
      <c r="I25" s="43">
        <f>IF(AND(進捗確認!$B65&lt;&gt;"",進捗確認!$A65&lt;=進捗確認!$F$3,N(目標設定!$D$13)&gt;0),SUM(進捗確認!I$42:I65)/目標設定!$D$13,NA())</f>
        <v/>
      </c>
      <c r="J25" s="43">
        <f>IF(AND(進捗確認!$B65&lt;&gt;"",進捗確認!$A65&lt;=進捗確認!$F$3,N(目標設定!$D$14)&gt;0),SUM(進捗確認!J$42:J65)/目標設定!$D$14,NA())</f>
        <v/>
      </c>
      <c r="K25" s="43">
        <f>IF(AND(進捗確認!$B65&lt;&gt;"",進捗確認!$A65&lt;=進捗確認!$F$3,N(目標設定!$D$15)&gt;0),SUM(進捗確認!K$42:K65)/目標設定!$D$15,NA())</f>
        <v/>
      </c>
      <c r="L25" s="43">
        <f>IF(AND(進捗確認!$B65&lt;&gt;"",進捗確認!$A65&lt;=進捗確認!$F$3,N(目標設定!$D$16)&gt;0),SUM(進捗確認!L$42:L65)/目標設定!$D$16,NA())</f>
        <v/>
      </c>
      <c r="M25" s="43">
        <f>IF(AND(進捗確認!$B65&lt;&gt;"",進捗確認!$A65&lt;=進捗確認!$F$3,N(目標設定!$D$17)&gt;0),SUM(進捗確認!M$42:M65)/目標設定!$D$17,NA())</f>
        <v/>
      </c>
      <c r="N25" s="43">
        <f>IF(AND(進捗確認!$B65&lt;&gt;"",進捗確認!$A65&lt;=進捗確認!$F$3,N(目標設定!$D$18)&gt;0),SUM(進捗確認!N$42:N65)/目標設定!$D$18,NA())</f>
        <v/>
      </c>
      <c r="O25" s="43">
        <f>IF(進捗確認!$B65="",NA(),$A25/進捗確認!$D$3)</f>
        <v/>
      </c>
    </row>
    <row r="26">
      <c r="A26" t="n">
        <v>25</v>
      </c>
      <c r="B26" s="58">
        <f>進捗確認!B66</f>
        <v/>
      </c>
      <c r="C26" s="43">
        <f>IF(AND(進捗確認!$B66&lt;&gt;"",進捗確認!$A66&lt;=進捗確認!$F$3,N(目標設定!$D$7)&gt;0),SUM(進捗確認!C$42:C66)/目標設定!$D$7,NA())</f>
        <v/>
      </c>
      <c r="D26" s="43">
        <f>IF(AND(進捗確認!$B66&lt;&gt;"",進捗確認!$A66&lt;=進捗確認!$F$3,N(目標設定!$D$8)&gt;0),SUM(進捗確認!D$42:D66)/目標設定!$D$8,NA())</f>
        <v/>
      </c>
      <c r="E26" s="43">
        <f>IF(AND(進捗確認!$B66&lt;&gt;"",進捗確認!$A66&lt;=進捗確認!$F$3,N(目標設定!$D$9)&gt;0),SUM(進捗確認!E$42:E66)/目標設定!$D$9,NA())</f>
        <v/>
      </c>
      <c r="F26" s="43">
        <f>IF(AND(進捗確認!$B66&lt;&gt;"",進捗確認!$A66&lt;=進捗確認!$F$3,N(目標設定!$D$10)&gt;0),SUM(進捗確認!F$42:F66)/目標設定!$D$10,NA())</f>
        <v/>
      </c>
      <c r="G26" s="43">
        <f>IF(AND(進捗確認!$B66&lt;&gt;"",進捗確認!$A66&lt;=進捗確認!$F$3,N(目標設定!$D$11)&gt;0),SUM(進捗確認!G$42:G66)/目標設定!$D$11,NA())</f>
        <v/>
      </c>
      <c r="H26" s="43">
        <f>IF(AND(進捗確認!$B66&lt;&gt;"",進捗確認!$A66&lt;=進捗確認!$F$3,N(目標設定!$D$12)&gt;0),SUM(進捗確認!H$42:H66)/目標設定!$D$12,NA())</f>
        <v/>
      </c>
      <c r="I26" s="43">
        <f>IF(AND(進捗確認!$B66&lt;&gt;"",進捗確認!$A66&lt;=進捗確認!$F$3,N(目標設定!$D$13)&gt;0),SUM(進捗確認!I$42:I66)/目標設定!$D$13,NA())</f>
        <v/>
      </c>
      <c r="J26" s="43">
        <f>IF(AND(進捗確認!$B66&lt;&gt;"",進捗確認!$A66&lt;=進捗確認!$F$3,N(目標設定!$D$14)&gt;0),SUM(進捗確認!J$42:J66)/目標設定!$D$14,NA())</f>
        <v/>
      </c>
      <c r="K26" s="43">
        <f>IF(AND(進捗確認!$B66&lt;&gt;"",進捗確認!$A66&lt;=進捗確認!$F$3,N(目標設定!$D$15)&gt;0),SUM(進捗確認!K$42:K66)/目標設定!$D$15,NA())</f>
        <v/>
      </c>
      <c r="L26" s="43">
        <f>IF(AND(進捗確認!$B66&lt;&gt;"",進捗確認!$A66&lt;=進捗確認!$F$3,N(目標設定!$D$16)&gt;0),SUM(進捗確認!L$42:L66)/目標設定!$D$16,NA())</f>
        <v/>
      </c>
      <c r="M26" s="43">
        <f>IF(AND(進捗確認!$B66&lt;&gt;"",進捗確認!$A66&lt;=進捗確認!$F$3,N(目標設定!$D$17)&gt;0),SUM(進捗確認!M$42:M66)/目標設定!$D$17,NA())</f>
        <v/>
      </c>
      <c r="N26" s="43">
        <f>IF(AND(進捗確認!$B66&lt;&gt;"",進捗確認!$A66&lt;=進捗確認!$F$3,N(目標設定!$D$18)&gt;0),SUM(進捗確認!N$42:N66)/目標設定!$D$18,NA())</f>
        <v/>
      </c>
      <c r="O26" s="43">
        <f>IF(進捗確認!$B66="",NA(),$A26/進捗確認!$D$3)</f>
        <v/>
      </c>
    </row>
    <row r="27">
      <c r="A27" t="n">
        <v>26</v>
      </c>
      <c r="B27" s="58">
        <f>進捗確認!B67</f>
        <v/>
      </c>
      <c r="C27" s="43">
        <f>IF(AND(進捗確認!$B67&lt;&gt;"",進捗確認!$A67&lt;=進捗確認!$F$3,N(目標設定!$D$7)&gt;0),SUM(進捗確認!C$42:C67)/目標設定!$D$7,NA())</f>
        <v/>
      </c>
      <c r="D27" s="43">
        <f>IF(AND(進捗確認!$B67&lt;&gt;"",進捗確認!$A67&lt;=進捗確認!$F$3,N(目標設定!$D$8)&gt;0),SUM(進捗確認!D$42:D67)/目標設定!$D$8,NA())</f>
        <v/>
      </c>
      <c r="E27" s="43">
        <f>IF(AND(進捗確認!$B67&lt;&gt;"",進捗確認!$A67&lt;=進捗確認!$F$3,N(目標設定!$D$9)&gt;0),SUM(進捗確認!E$42:E67)/目標設定!$D$9,NA())</f>
        <v/>
      </c>
      <c r="F27" s="43">
        <f>IF(AND(進捗確認!$B67&lt;&gt;"",進捗確認!$A67&lt;=進捗確認!$F$3,N(目標設定!$D$10)&gt;0),SUM(進捗確認!F$42:F67)/目標設定!$D$10,NA())</f>
        <v/>
      </c>
      <c r="G27" s="43">
        <f>IF(AND(進捗確認!$B67&lt;&gt;"",進捗確認!$A67&lt;=進捗確認!$F$3,N(目標設定!$D$11)&gt;0),SUM(進捗確認!G$42:G67)/目標設定!$D$11,NA())</f>
        <v/>
      </c>
      <c r="H27" s="43">
        <f>IF(AND(進捗確認!$B67&lt;&gt;"",進捗確認!$A67&lt;=進捗確認!$F$3,N(目標設定!$D$12)&gt;0),SUM(進捗確認!H$42:H67)/目標設定!$D$12,NA())</f>
        <v/>
      </c>
      <c r="I27" s="43">
        <f>IF(AND(進捗確認!$B67&lt;&gt;"",進捗確認!$A67&lt;=進捗確認!$F$3,N(目標設定!$D$13)&gt;0),SUM(進捗確認!I$42:I67)/目標設定!$D$13,NA())</f>
        <v/>
      </c>
      <c r="J27" s="43">
        <f>IF(AND(進捗確認!$B67&lt;&gt;"",進捗確認!$A67&lt;=進捗確認!$F$3,N(目標設定!$D$14)&gt;0),SUM(進捗確認!J$42:J67)/目標設定!$D$14,NA())</f>
        <v/>
      </c>
      <c r="K27" s="43">
        <f>IF(AND(進捗確認!$B67&lt;&gt;"",進捗確認!$A67&lt;=進捗確認!$F$3,N(目標設定!$D$15)&gt;0),SUM(進捗確認!K$42:K67)/目標設定!$D$15,NA())</f>
        <v/>
      </c>
      <c r="L27" s="43">
        <f>IF(AND(進捗確認!$B67&lt;&gt;"",進捗確認!$A67&lt;=進捗確認!$F$3,N(目標設定!$D$16)&gt;0),SUM(進捗確認!L$42:L67)/目標設定!$D$16,NA())</f>
        <v/>
      </c>
      <c r="M27" s="43">
        <f>IF(AND(進捗確認!$B67&lt;&gt;"",進捗確認!$A67&lt;=進捗確認!$F$3,N(目標設定!$D$17)&gt;0),SUM(進捗確認!M$42:M67)/目標設定!$D$17,NA())</f>
        <v/>
      </c>
      <c r="N27" s="43">
        <f>IF(AND(進捗確認!$B67&lt;&gt;"",進捗確認!$A67&lt;=進捗確認!$F$3,N(目標設定!$D$18)&gt;0),SUM(進捗確認!N$42:N67)/目標設定!$D$18,NA())</f>
        <v/>
      </c>
      <c r="O27" s="43">
        <f>IF(進捗確認!$B67="",NA(),$A27/進捗確認!$D$3)</f>
        <v/>
      </c>
    </row>
    <row r="28">
      <c r="A28" t="n">
        <v>27</v>
      </c>
      <c r="B28" s="58">
        <f>進捗確認!B68</f>
        <v/>
      </c>
      <c r="C28" s="43">
        <f>IF(AND(進捗確認!$B68&lt;&gt;"",進捗確認!$A68&lt;=進捗確認!$F$3,N(目標設定!$D$7)&gt;0),SUM(進捗確認!C$42:C68)/目標設定!$D$7,NA())</f>
        <v/>
      </c>
      <c r="D28" s="43">
        <f>IF(AND(進捗確認!$B68&lt;&gt;"",進捗確認!$A68&lt;=進捗確認!$F$3,N(目標設定!$D$8)&gt;0),SUM(進捗確認!D$42:D68)/目標設定!$D$8,NA())</f>
        <v/>
      </c>
      <c r="E28" s="43">
        <f>IF(AND(進捗確認!$B68&lt;&gt;"",進捗確認!$A68&lt;=進捗確認!$F$3,N(目標設定!$D$9)&gt;0),SUM(進捗確認!E$42:E68)/目標設定!$D$9,NA())</f>
        <v/>
      </c>
      <c r="F28" s="43">
        <f>IF(AND(進捗確認!$B68&lt;&gt;"",進捗確認!$A68&lt;=進捗確認!$F$3,N(目標設定!$D$10)&gt;0),SUM(進捗確認!F$42:F68)/目標設定!$D$10,NA())</f>
        <v/>
      </c>
      <c r="G28" s="43">
        <f>IF(AND(進捗確認!$B68&lt;&gt;"",進捗確認!$A68&lt;=進捗確認!$F$3,N(目標設定!$D$11)&gt;0),SUM(進捗確認!G$42:G68)/目標設定!$D$11,NA())</f>
        <v/>
      </c>
      <c r="H28" s="43">
        <f>IF(AND(進捗確認!$B68&lt;&gt;"",進捗確認!$A68&lt;=進捗確認!$F$3,N(目標設定!$D$12)&gt;0),SUM(進捗確認!H$42:H68)/目標設定!$D$12,NA())</f>
        <v/>
      </c>
      <c r="I28" s="43">
        <f>IF(AND(進捗確認!$B68&lt;&gt;"",進捗確認!$A68&lt;=進捗確認!$F$3,N(目標設定!$D$13)&gt;0),SUM(進捗確認!I$42:I68)/目標設定!$D$13,NA())</f>
        <v/>
      </c>
      <c r="J28" s="43">
        <f>IF(AND(進捗確認!$B68&lt;&gt;"",進捗確認!$A68&lt;=進捗確認!$F$3,N(目標設定!$D$14)&gt;0),SUM(進捗確認!J$42:J68)/目標設定!$D$14,NA())</f>
        <v/>
      </c>
      <c r="K28" s="43">
        <f>IF(AND(進捗確認!$B68&lt;&gt;"",進捗確認!$A68&lt;=進捗確認!$F$3,N(目標設定!$D$15)&gt;0),SUM(進捗確認!K$42:K68)/目標設定!$D$15,NA())</f>
        <v/>
      </c>
      <c r="L28" s="43">
        <f>IF(AND(進捗確認!$B68&lt;&gt;"",進捗確認!$A68&lt;=進捗確認!$F$3,N(目標設定!$D$16)&gt;0),SUM(進捗確認!L$42:L68)/目標設定!$D$16,NA())</f>
        <v/>
      </c>
      <c r="M28" s="43">
        <f>IF(AND(進捗確認!$B68&lt;&gt;"",進捗確認!$A68&lt;=進捗確認!$F$3,N(目標設定!$D$17)&gt;0),SUM(進捗確認!M$42:M68)/目標設定!$D$17,NA())</f>
        <v/>
      </c>
      <c r="N28" s="43">
        <f>IF(AND(進捗確認!$B68&lt;&gt;"",進捗確認!$A68&lt;=進捗確認!$F$3,N(目標設定!$D$18)&gt;0),SUM(進捗確認!N$42:N68)/目標設定!$D$18,NA())</f>
        <v/>
      </c>
      <c r="O28" s="43">
        <f>IF(進捗確認!$B68="",NA(),$A28/進捗確認!$D$3)</f>
        <v/>
      </c>
    </row>
    <row r="29">
      <c r="A29" t="n">
        <v>28</v>
      </c>
      <c r="B29" s="58">
        <f>進捗確認!B69</f>
        <v/>
      </c>
      <c r="C29" s="43">
        <f>IF(AND(進捗確認!$B69&lt;&gt;"",進捗確認!$A69&lt;=進捗確認!$F$3,N(目標設定!$D$7)&gt;0),SUM(進捗確認!C$42:C69)/目標設定!$D$7,NA())</f>
        <v/>
      </c>
      <c r="D29" s="43">
        <f>IF(AND(進捗確認!$B69&lt;&gt;"",進捗確認!$A69&lt;=進捗確認!$F$3,N(目標設定!$D$8)&gt;0),SUM(進捗確認!D$42:D69)/目標設定!$D$8,NA())</f>
        <v/>
      </c>
      <c r="E29" s="43">
        <f>IF(AND(進捗確認!$B69&lt;&gt;"",進捗確認!$A69&lt;=進捗確認!$F$3,N(目標設定!$D$9)&gt;0),SUM(進捗確認!E$42:E69)/目標設定!$D$9,NA())</f>
        <v/>
      </c>
      <c r="F29" s="43">
        <f>IF(AND(進捗確認!$B69&lt;&gt;"",進捗確認!$A69&lt;=進捗確認!$F$3,N(目標設定!$D$10)&gt;0),SUM(進捗確認!F$42:F69)/目標設定!$D$10,NA())</f>
        <v/>
      </c>
      <c r="G29" s="43">
        <f>IF(AND(進捗確認!$B69&lt;&gt;"",進捗確認!$A69&lt;=進捗確認!$F$3,N(目標設定!$D$11)&gt;0),SUM(進捗確認!G$42:G69)/目標設定!$D$11,NA())</f>
        <v/>
      </c>
      <c r="H29" s="43">
        <f>IF(AND(進捗確認!$B69&lt;&gt;"",進捗確認!$A69&lt;=進捗確認!$F$3,N(目標設定!$D$12)&gt;0),SUM(進捗確認!H$42:H69)/目標設定!$D$12,NA())</f>
        <v/>
      </c>
      <c r="I29" s="43">
        <f>IF(AND(進捗確認!$B69&lt;&gt;"",進捗確認!$A69&lt;=進捗確認!$F$3,N(目標設定!$D$13)&gt;0),SUM(進捗確認!I$42:I69)/目標設定!$D$13,NA())</f>
        <v/>
      </c>
      <c r="J29" s="43">
        <f>IF(AND(進捗確認!$B69&lt;&gt;"",進捗確認!$A69&lt;=進捗確認!$F$3,N(目標設定!$D$14)&gt;0),SUM(進捗確認!J$42:J69)/目標設定!$D$14,NA())</f>
        <v/>
      </c>
      <c r="K29" s="43">
        <f>IF(AND(進捗確認!$B69&lt;&gt;"",進捗確認!$A69&lt;=進捗確認!$F$3,N(目標設定!$D$15)&gt;0),SUM(進捗確認!K$42:K69)/目標設定!$D$15,NA())</f>
        <v/>
      </c>
      <c r="L29" s="43">
        <f>IF(AND(進捗確認!$B69&lt;&gt;"",進捗確認!$A69&lt;=進捗確認!$F$3,N(目標設定!$D$16)&gt;0),SUM(進捗確認!L$42:L69)/目標設定!$D$16,NA())</f>
        <v/>
      </c>
      <c r="M29" s="43">
        <f>IF(AND(進捗確認!$B69&lt;&gt;"",進捗確認!$A69&lt;=進捗確認!$F$3,N(目標設定!$D$17)&gt;0),SUM(進捗確認!M$42:M69)/目標設定!$D$17,NA())</f>
        <v/>
      </c>
      <c r="N29" s="43">
        <f>IF(AND(進捗確認!$B69&lt;&gt;"",進捗確認!$A69&lt;=進捗確認!$F$3,N(目標設定!$D$18)&gt;0),SUM(進捗確認!N$42:N69)/目標設定!$D$18,NA())</f>
        <v/>
      </c>
      <c r="O29" s="43">
        <f>IF(進捗確認!$B69="",NA(),$A29/進捗確認!$D$3)</f>
        <v/>
      </c>
    </row>
    <row r="30">
      <c r="A30" t="n">
        <v>29</v>
      </c>
      <c r="B30" s="58">
        <f>進捗確認!B70</f>
        <v/>
      </c>
      <c r="C30" s="43">
        <f>IF(AND(進捗確認!$B70&lt;&gt;"",進捗確認!$A70&lt;=進捗確認!$F$3,N(目標設定!$D$7)&gt;0),SUM(進捗確認!C$42:C70)/目標設定!$D$7,NA())</f>
        <v/>
      </c>
      <c r="D30" s="43">
        <f>IF(AND(進捗確認!$B70&lt;&gt;"",進捗確認!$A70&lt;=進捗確認!$F$3,N(目標設定!$D$8)&gt;0),SUM(進捗確認!D$42:D70)/目標設定!$D$8,NA())</f>
        <v/>
      </c>
      <c r="E30" s="43">
        <f>IF(AND(進捗確認!$B70&lt;&gt;"",進捗確認!$A70&lt;=進捗確認!$F$3,N(目標設定!$D$9)&gt;0),SUM(進捗確認!E$42:E70)/目標設定!$D$9,NA())</f>
        <v/>
      </c>
      <c r="F30" s="43">
        <f>IF(AND(進捗確認!$B70&lt;&gt;"",進捗確認!$A70&lt;=進捗確認!$F$3,N(目標設定!$D$10)&gt;0),SUM(進捗確認!F$42:F70)/目標設定!$D$10,NA())</f>
        <v/>
      </c>
      <c r="G30" s="43">
        <f>IF(AND(進捗確認!$B70&lt;&gt;"",進捗確認!$A70&lt;=進捗確認!$F$3,N(目標設定!$D$11)&gt;0),SUM(進捗確認!G$42:G70)/目標設定!$D$11,NA())</f>
        <v/>
      </c>
      <c r="H30" s="43">
        <f>IF(AND(進捗確認!$B70&lt;&gt;"",進捗確認!$A70&lt;=進捗確認!$F$3,N(目標設定!$D$12)&gt;0),SUM(進捗確認!H$42:H70)/目標設定!$D$12,NA())</f>
        <v/>
      </c>
      <c r="I30" s="43">
        <f>IF(AND(進捗確認!$B70&lt;&gt;"",進捗確認!$A70&lt;=進捗確認!$F$3,N(目標設定!$D$13)&gt;0),SUM(進捗確認!I$42:I70)/目標設定!$D$13,NA())</f>
        <v/>
      </c>
      <c r="J30" s="43">
        <f>IF(AND(進捗確認!$B70&lt;&gt;"",進捗確認!$A70&lt;=進捗確認!$F$3,N(目標設定!$D$14)&gt;0),SUM(進捗確認!J$42:J70)/目標設定!$D$14,NA())</f>
        <v/>
      </c>
      <c r="K30" s="43">
        <f>IF(AND(進捗確認!$B70&lt;&gt;"",進捗確認!$A70&lt;=進捗確認!$F$3,N(目標設定!$D$15)&gt;0),SUM(進捗確認!K$42:K70)/目標設定!$D$15,NA())</f>
        <v/>
      </c>
      <c r="L30" s="43">
        <f>IF(AND(進捗確認!$B70&lt;&gt;"",進捗確認!$A70&lt;=進捗確認!$F$3,N(目標設定!$D$16)&gt;0),SUM(進捗確認!L$42:L70)/目標設定!$D$16,NA())</f>
        <v/>
      </c>
      <c r="M30" s="43">
        <f>IF(AND(進捗確認!$B70&lt;&gt;"",進捗確認!$A70&lt;=進捗確認!$F$3,N(目標設定!$D$17)&gt;0),SUM(進捗確認!M$42:M70)/目標設定!$D$17,NA())</f>
        <v/>
      </c>
      <c r="N30" s="43">
        <f>IF(AND(進捗確認!$B70&lt;&gt;"",進捗確認!$A70&lt;=進捗確認!$F$3,N(目標設定!$D$18)&gt;0),SUM(進捗確認!N$42:N70)/目標設定!$D$18,NA())</f>
        <v/>
      </c>
      <c r="O30" s="43">
        <f>IF(進捗確認!$B70="",NA(),$A30/進捗確認!$D$3)</f>
        <v/>
      </c>
    </row>
    <row r="31">
      <c r="A31" t="n">
        <v>30</v>
      </c>
      <c r="B31" s="58">
        <f>進捗確認!B71</f>
        <v/>
      </c>
      <c r="C31" s="43">
        <f>IF(AND(進捗確認!$B71&lt;&gt;"",進捗確認!$A71&lt;=進捗確認!$F$3,N(目標設定!$D$7)&gt;0),SUM(進捗確認!C$42:C71)/目標設定!$D$7,NA())</f>
        <v/>
      </c>
      <c r="D31" s="43">
        <f>IF(AND(進捗確認!$B71&lt;&gt;"",進捗確認!$A71&lt;=進捗確認!$F$3,N(目標設定!$D$8)&gt;0),SUM(進捗確認!D$42:D71)/目標設定!$D$8,NA())</f>
        <v/>
      </c>
      <c r="E31" s="43">
        <f>IF(AND(進捗確認!$B71&lt;&gt;"",進捗確認!$A71&lt;=進捗確認!$F$3,N(目標設定!$D$9)&gt;0),SUM(進捗確認!E$42:E71)/目標設定!$D$9,NA())</f>
        <v/>
      </c>
      <c r="F31" s="43">
        <f>IF(AND(進捗確認!$B71&lt;&gt;"",進捗確認!$A71&lt;=進捗確認!$F$3,N(目標設定!$D$10)&gt;0),SUM(進捗確認!F$42:F71)/目標設定!$D$10,NA())</f>
        <v/>
      </c>
      <c r="G31" s="43">
        <f>IF(AND(進捗確認!$B71&lt;&gt;"",進捗確認!$A71&lt;=進捗確認!$F$3,N(目標設定!$D$11)&gt;0),SUM(進捗確認!G$42:G71)/目標設定!$D$11,NA())</f>
        <v/>
      </c>
      <c r="H31" s="43">
        <f>IF(AND(進捗確認!$B71&lt;&gt;"",進捗確認!$A71&lt;=進捗確認!$F$3,N(目標設定!$D$12)&gt;0),SUM(進捗確認!H$42:H71)/目標設定!$D$12,NA())</f>
        <v/>
      </c>
      <c r="I31" s="43">
        <f>IF(AND(進捗確認!$B71&lt;&gt;"",進捗確認!$A71&lt;=進捗確認!$F$3,N(目標設定!$D$13)&gt;0),SUM(進捗確認!I$42:I71)/目標設定!$D$13,NA())</f>
        <v/>
      </c>
      <c r="J31" s="43">
        <f>IF(AND(進捗確認!$B71&lt;&gt;"",進捗確認!$A71&lt;=進捗確認!$F$3,N(目標設定!$D$14)&gt;0),SUM(進捗確認!J$42:J71)/目標設定!$D$14,NA())</f>
        <v/>
      </c>
      <c r="K31" s="43">
        <f>IF(AND(進捗確認!$B71&lt;&gt;"",進捗確認!$A71&lt;=進捗確認!$F$3,N(目標設定!$D$15)&gt;0),SUM(進捗確認!K$42:K71)/目標設定!$D$15,NA())</f>
        <v/>
      </c>
      <c r="L31" s="43">
        <f>IF(AND(進捗確認!$B71&lt;&gt;"",進捗確認!$A71&lt;=進捗確認!$F$3,N(目標設定!$D$16)&gt;0),SUM(進捗確認!L$42:L71)/目標設定!$D$16,NA())</f>
        <v/>
      </c>
      <c r="M31" s="43">
        <f>IF(AND(進捗確認!$B71&lt;&gt;"",進捗確認!$A71&lt;=進捗確認!$F$3,N(目標設定!$D$17)&gt;0),SUM(進捗確認!M$42:M71)/目標設定!$D$17,NA())</f>
        <v/>
      </c>
      <c r="N31" s="43">
        <f>IF(AND(進捗確認!$B71&lt;&gt;"",進捗確認!$A71&lt;=進捗確認!$F$3,N(目標設定!$D$18)&gt;0),SUM(進捗確認!N$42:N71)/目標設定!$D$18,NA())</f>
        <v/>
      </c>
      <c r="O31" s="43">
        <f>IF(進捗確認!$B71="",NA(),$A31/進捗確認!$D$3)</f>
        <v/>
      </c>
    </row>
    <row r="32">
      <c r="A32" t="n">
        <v>31</v>
      </c>
      <c r="B32" s="58">
        <f>進捗確認!B72</f>
        <v/>
      </c>
      <c r="C32" s="43">
        <f>IF(AND(進捗確認!$B72&lt;&gt;"",進捗確認!$A72&lt;=進捗確認!$F$3,N(目標設定!$D$7)&gt;0),SUM(進捗確認!C$42:C72)/目標設定!$D$7,NA())</f>
        <v/>
      </c>
      <c r="D32" s="43">
        <f>IF(AND(進捗確認!$B72&lt;&gt;"",進捗確認!$A72&lt;=進捗確認!$F$3,N(目標設定!$D$8)&gt;0),SUM(進捗確認!D$42:D72)/目標設定!$D$8,NA())</f>
        <v/>
      </c>
      <c r="E32" s="43">
        <f>IF(AND(進捗確認!$B72&lt;&gt;"",進捗確認!$A72&lt;=進捗確認!$F$3,N(目標設定!$D$9)&gt;0),SUM(進捗確認!E$42:E72)/目標設定!$D$9,NA())</f>
        <v/>
      </c>
      <c r="F32" s="43">
        <f>IF(AND(進捗確認!$B72&lt;&gt;"",進捗確認!$A72&lt;=進捗確認!$F$3,N(目標設定!$D$10)&gt;0),SUM(進捗確認!F$42:F72)/目標設定!$D$10,NA())</f>
        <v/>
      </c>
      <c r="G32" s="43">
        <f>IF(AND(進捗確認!$B72&lt;&gt;"",進捗確認!$A72&lt;=進捗確認!$F$3,N(目標設定!$D$11)&gt;0),SUM(進捗確認!G$42:G72)/目標設定!$D$11,NA())</f>
        <v/>
      </c>
      <c r="H32" s="43">
        <f>IF(AND(進捗確認!$B72&lt;&gt;"",進捗確認!$A72&lt;=進捗確認!$F$3,N(目標設定!$D$12)&gt;0),SUM(進捗確認!H$42:H72)/目標設定!$D$12,NA())</f>
        <v/>
      </c>
      <c r="I32" s="43">
        <f>IF(AND(進捗確認!$B72&lt;&gt;"",進捗確認!$A72&lt;=進捗確認!$F$3,N(目標設定!$D$13)&gt;0),SUM(進捗確認!I$42:I72)/目標設定!$D$13,NA())</f>
        <v/>
      </c>
      <c r="J32" s="43">
        <f>IF(AND(進捗確認!$B72&lt;&gt;"",進捗確認!$A72&lt;=進捗確認!$F$3,N(目標設定!$D$14)&gt;0),SUM(進捗確認!J$42:J72)/目標設定!$D$14,NA())</f>
        <v/>
      </c>
      <c r="K32" s="43">
        <f>IF(AND(進捗確認!$B72&lt;&gt;"",進捗確認!$A72&lt;=進捗確認!$F$3,N(目標設定!$D$15)&gt;0),SUM(進捗確認!K$42:K72)/目標設定!$D$15,NA())</f>
        <v/>
      </c>
      <c r="L32" s="43">
        <f>IF(AND(進捗確認!$B72&lt;&gt;"",進捗確認!$A72&lt;=進捗確認!$F$3,N(目標設定!$D$16)&gt;0),SUM(進捗確認!L$42:L72)/目標設定!$D$16,NA())</f>
        <v/>
      </c>
      <c r="M32" s="43">
        <f>IF(AND(進捗確認!$B72&lt;&gt;"",進捗確認!$A72&lt;=進捗確認!$F$3,N(目標設定!$D$17)&gt;0),SUM(進捗確認!M$42:M72)/目標設定!$D$17,NA())</f>
        <v/>
      </c>
      <c r="N32" s="43">
        <f>IF(AND(進捗確認!$B72&lt;&gt;"",進捗確認!$A72&lt;=進捗確認!$F$3,N(目標設定!$D$18)&gt;0),SUM(進捗確認!N$42:N72)/目標設定!$D$18,NA())</f>
        <v/>
      </c>
      <c r="O32" s="43">
        <f>IF(進捗確認!$B72="",NA(),$A32/進捗確認!$D$3)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2026-10-02T14:00:53Z</dcterms:created>
  <dcterms:modified xmlns:dcterms="http://purl.org/dc/terms/" xmlns:xsi="http://www.w3.org/2001/XMLSchema-instance" xsi:type="dcterms:W3CDTF">2026-10-15T23:33:18Z</dcterms:modified>
</cp:coreProperties>
</file>